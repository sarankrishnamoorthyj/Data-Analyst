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SARAN K\Desktop\"/>
    </mc:Choice>
  </mc:AlternateContent>
  <xr:revisionPtr revIDLastSave="0" documentId="13_ncr:1_{0A25B0CF-B8EA-413F-84A6-919DA0968B17}" xr6:coauthVersionLast="47" xr6:coauthVersionMax="47" xr10:uidLastSave="{00000000-0000-0000-0000-000000000000}"/>
  <bookViews>
    <workbookView xWindow="-108" yWindow="-108" windowWidth="23256" windowHeight="12456" xr2:uid="{C0893FBD-34B3-420E-B0D6-EC330180DDEA}"/>
  </bookViews>
  <sheets>
    <sheet name="project" sheetId="6" r:id="rId1"/>
    <sheet name="pivot table" sheetId="4" r:id="rId2"/>
    <sheet name="SalesData" sheetId="3" r:id="rId3"/>
  </sheets>
  <definedNames>
    <definedName name="Slicer_Product">#N/A</definedName>
    <definedName name="Slicer_Region">#N/A</definedName>
    <definedName name="Slicer_Sales_Pers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9" i="3" l="1"/>
  <c r="I41" i="3"/>
  <c r="J11" i="3"/>
  <c r="G51" i="3"/>
  <c r="F51" i="3"/>
  <c r="H51" i="3" s="1"/>
  <c r="I51" i="3" s="1"/>
  <c r="G50" i="3"/>
  <c r="F50" i="3"/>
  <c r="H50" i="3" s="1"/>
  <c r="I50" i="3" s="1"/>
  <c r="G49" i="3"/>
  <c r="I49" i="3" s="1"/>
  <c r="F49" i="3"/>
  <c r="H49" i="3" s="1"/>
  <c r="G48" i="3"/>
  <c r="F48" i="3"/>
  <c r="H48" i="3" s="1"/>
  <c r="I48" i="3" s="1"/>
  <c r="G47" i="3"/>
  <c r="F47" i="3"/>
  <c r="H47" i="3" s="1"/>
  <c r="I47" i="3" s="1"/>
  <c r="G46" i="3"/>
  <c r="I46" i="3" s="1"/>
  <c r="F46" i="3"/>
  <c r="H46" i="3" s="1"/>
  <c r="G45" i="3"/>
  <c r="F45" i="3"/>
  <c r="H45" i="3" s="1"/>
  <c r="I45" i="3" s="1"/>
  <c r="G44" i="3"/>
  <c r="F44" i="3"/>
  <c r="H44" i="3" s="1"/>
  <c r="I44" i="3" s="1"/>
  <c r="G43" i="3"/>
  <c r="F43" i="3"/>
  <c r="H43" i="3" s="1"/>
  <c r="I43" i="3" s="1"/>
  <c r="G42" i="3"/>
  <c r="F42" i="3"/>
  <c r="H42" i="3" s="1"/>
  <c r="I42" i="3" s="1"/>
  <c r="G41" i="3"/>
  <c r="F41" i="3"/>
  <c r="H41" i="3" s="1"/>
  <c r="G40" i="3"/>
  <c r="F40" i="3"/>
  <c r="H40" i="3" s="1"/>
  <c r="I40" i="3" s="1"/>
  <c r="G39" i="3"/>
  <c r="F39" i="3"/>
  <c r="H39" i="3" s="1"/>
  <c r="I39" i="3" s="1"/>
  <c r="G38" i="3"/>
  <c r="F38" i="3"/>
  <c r="H38" i="3" s="1"/>
  <c r="I38" i="3" s="1"/>
  <c r="G37" i="3"/>
  <c r="F37" i="3"/>
  <c r="H37" i="3" s="1"/>
  <c r="I37" i="3" s="1"/>
  <c r="G36" i="3"/>
  <c r="F36" i="3"/>
  <c r="H36" i="3" s="1"/>
  <c r="I36" i="3" s="1"/>
  <c r="G35" i="3"/>
  <c r="F35" i="3"/>
  <c r="H35" i="3" s="1"/>
  <c r="I35" i="3" s="1"/>
  <c r="G34" i="3"/>
  <c r="F34" i="3"/>
  <c r="H34" i="3" s="1"/>
  <c r="I34" i="3" s="1"/>
  <c r="G33" i="3"/>
  <c r="I33" i="3" s="1"/>
  <c r="F33" i="3"/>
  <c r="H33" i="3" s="1"/>
  <c r="G32" i="3"/>
  <c r="F32" i="3"/>
  <c r="H32" i="3" s="1"/>
  <c r="I32" i="3" s="1"/>
  <c r="G31" i="3"/>
  <c r="F31" i="3"/>
  <c r="H31" i="3" s="1"/>
  <c r="I31" i="3" s="1"/>
  <c r="G30" i="3"/>
  <c r="I30" i="3" s="1"/>
  <c r="F30" i="3"/>
  <c r="H30" i="3" s="1"/>
  <c r="G29" i="3"/>
  <c r="F29" i="3"/>
  <c r="H29" i="3" s="1"/>
  <c r="I29" i="3" s="1"/>
  <c r="G28" i="3"/>
  <c r="F28" i="3"/>
  <c r="H28" i="3" s="1"/>
  <c r="I28" i="3" s="1"/>
  <c r="G27" i="3"/>
  <c r="F27" i="3"/>
  <c r="H27" i="3" s="1"/>
  <c r="I27" i="3" s="1"/>
  <c r="G26" i="3"/>
  <c r="F26" i="3"/>
  <c r="H26" i="3" s="1"/>
  <c r="I26" i="3" s="1"/>
  <c r="G25" i="3"/>
  <c r="F25" i="3"/>
  <c r="H25" i="3" s="1"/>
  <c r="I25" i="3" s="1"/>
  <c r="G24" i="3"/>
  <c r="F24" i="3"/>
  <c r="H24" i="3" s="1"/>
  <c r="I24" i="3" s="1"/>
  <c r="G23" i="3"/>
  <c r="F23" i="3"/>
  <c r="H23" i="3" s="1"/>
  <c r="I23" i="3" s="1"/>
  <c r="G22" i="3"/>
  <c r="F22" i="3"/>
  <c r="H22" i="3" s="1"/>
  <c r="I22" i="3" s="1"/>
  <c r="G21" i="3"/>
  <c r="F21" i="3"/>
  <c r="H21" i="3" s="1"/>
  <c r="I21" i="3" s="1"/>
  <c r="G20" i="3"/>
  <c r="F20" i="3"/>
  <c r="H20" i="3" s="1"/>
  <c r="I20" i="3" s="1"/>
  <c r="G19" i="3"/>
  <c r="F19" i="3"/>
  <c r="H19" i="3" s="1"/>
  <c r="I19" i="3" s="1"/>
  <c r="G18" i="3"/>
  <c r="F18" i="3"/>
  <c r="H18" i="3" s="1"/>
  <c r="I18" i="3" s="1"/>
  <c r="G17" i="3"/>
  <c r="I17" i="3" s="1"/>
  <c r="F17" i="3"/>
  <c r="H17" i="3" s="1"/>
  <c r="G16" i="3"/>
  <c r="F16" i="3"/>
  <c r="H16" i="3" s="1"/>
  <c r="I16" i="3" s="1"/>
  <c r="G15" i="3"/>
  <c r="F15" i="3"/>
  <c r="H15" i="3" s="1"/>
  <c r="I15" i="3" s="1"/>
  <c r="G14" i="3"/>
  <c r="I14" i="3" s="1"/>
  <c r="F14" i="3"/>
  <c r="H14" i="3" s="1"/>
  <c r="G13" i="3"/>
  <c r="F13" i="3"/>
  <c r="H13" i="3" s="1"/>
  <c r="I13" i="3" s="1"/>
  <c r="G12" i="3"/>
  <c r="I12" i="3" s="1"/>
  <c r="F12" i="3"/>
  <c r="H12" i="3" s="1"/>
  <c r="G11" i="3"/>
  <c r="F11" i="3"/>
  <c r="H11" i="3" s="1"/>
  <c r="I11" i="3" s="1"/>
  <c r="G10" i="3"/>
  <c r="F10" i="3"/>
  <c r="H10" i="3" s="1"/>
  <c r="I10" i="3" s="1"/>
  <c r="G9" i="3"/>
  <c r="F9" i="3"/>
  <c r="H9" i="3" s="1"/>
  <c r="G8" i="3"/>
  <c r="F8" i="3"/>
  <c r="H8" i="3" s="1"/>
  <c r="I8" i="3" s="1"/>
  <c r="H7" i="3"/>
  <c r="I7" i="3" s="1"/>
  <c r="G7" i="3"/>
  <c r="F7" i="3"/>
  <c r="G6" i="3"/>
  <c r="I6" i="3" s="1"/>
  <c r="F6" i="3"/>
  <c r="H6" i="3" s="1"/>
  <c r="G5" i="3"/>
  <c r="F5" i="3"/>
  <c r="H5" i="3" s="1"/>
  <c r="I5" i="3" s="1"/>
  <c r="H4" i="3"/>
  <c r="I4" i="3" s="1"/>
  <c r="G4" i="3"/>
  <c r="F4" i="3"/>
  <c r="G3" i="3"/>
  <c r="F3" i="3"/>
  <c r="H3" i="3" s="1"/>
  <c r="I3" i="3" s="1"/>
  <c r="G2" i="3"/>
  <c r="F2" i="3"/>
  <c r="H2" i="3" s="1"/>
  <c r="I2" i="3" l="1"/>
  <c r="J14" i="3" s="1"/>
  <c r="J8" i="3"/>
  <c r="J5" i="3"/>
</calcChain>
</file>

<file path=xl/sharedStrings.xml><?xml version="1.0" encoding="utf-8"?>
<sst xmlns="http://schemas.openxmlformats.org/spreadsheetml/2006/main" count="207" uniqueCount="39">
  <si>
    <t>Date</t>
  </si>
  <si>
    <t>Sales Person</t>
  </si>
  <si>
    <t>Region</t>
  </si>
  <si>
    <t>Product</t>
  </si>
  <si>
    <t>Units Sold</t>
  </si>
  <si>
    <t>Unit Price</t>
  </si>
  <si>
    <t>Cost of Goods</t>
  </si>
  <si>
    <t>Total Sales</t>
  </si>
  <si>
    <t>Andrew</t>
  </si>
  <si>
    <t>West</t>
  </si>
  <si>
    <t>Tent</t>
  </si>
  <si>
    <t>Grace</t>
  </si>
  <si>
    <t>East</t>
  </si>
  <si>
    <t>Blender</t>
  </si>
  <si>
    <t>Ella</t>
  </si>
  <si>
    <t>South</t>
  </si>
  <si>
    <t>Action Figure</t>
  </si>
  <si>
    <t>Cameron</t>
  </si>
  <si>
    <t>North</t>
  </si>
  <si>
    <t>Novel</t>
  </si>
  <si>
    <t>Megan</t>
  </si>
  <si>
    <t>Sneakers</t>
  </si>
  <si>
    <t>Carolyn</t>
  </si>
  <si>
    <t>Virginia</t>
  </si>
  <si>
    <t>Connor</t>
  </si>
  <si>
    <t>Anna</t>
  </si>
  <si>
    <t>Moisturizer</t>
  </si>
  <si>
    <t>Nicholas</t>
  </si>
  <si>
    <t>Smartphone</t>
  </si>
  <si>
    <t>grand total</t>
  </si>
  <si>
    <t>avg of sales</t>
  </si>
  <si>
    <t>unit sold</t>
  </si>
  <si>
    <t>profit</t>
  </si>
  <si>
    <t>total profit</t>
  </si>
  <si>
    <t>Row Labels</t>
  </si>
  <si>
    <t>(blank)</t>
  </si>
  <si>
    <t>Grand Total</t>
  </si>
  <si>
    <t>Sum of Total Sales</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</si>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</sst>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quot;Rs.&quot;\ * #,##0_ ;_ &quot;Rs.&quot;\ * \-#,##0_ ;_ &quot;Rs.&quot;\ * &quot;-&quot;_ ;_ @_ "/>
    <numFmt numFmtId="165" formatCode="_ * #,##0_ ;_ * \-#,##0_ ;_ * &quot;-&quot;??_ ;_ @_ "/>
    <numFmt numFmtId="166" formatCode="##\.##,&quot;L&quot;"/>
  </numFmts>
  <fonts count="4" x14ac:knownFonts="1">
    <font>
      <sz val="11"/>
      <color theme="1"/>
      <name val="Aptos Narrow"/>
      <family val="2"/>
      <scheme val="minor"/>
    </font>
    <font>
      <sz val="11"/>
      <color theme="1"/>
      <name val="Aptos Narrow"/>
      <family val="2"/>
      <scheme val="minor"/>
    </font>
    <font>
      <sz val="11"/>
      <color theme="0"/>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002060"/>
        <bgColor indexed="64"/>
      </patternFill>
    </fill>
  </fills>
  <borders count="2">
    <border>
      <left/>
      <right/>
      <top/>
      <bottom/>
      <diagonal/>
    </border>
    <border>
      <left/>
      <right/>
      <top/>
      <bottom style="thick">
        <color rgb="FFFFC000"/>
      </bottom>
      <diagonal/>
    </border>
  </borders>
  <cellStyleXfs count="2">
    <xf numFmtId="0" fontId="0" fillId="0" borderId="0"/>
    <xf numFmtId="164" fontId="1" fillId="0" borderId="0" applyFont="0" applyFill="0" applyBorder="0" applyAlignment="0" applyProtection="0"/>
  </cellStyleXfs>
  <cellXfs count="15">
    <xf numFmtId="0" fontId="0" fillId="0" borderId="0" xfId="0"/>
    <xf numFmtId="0" fontId="2" fillId="2" borderId="1" xfId="0" applyFont="1" applyFill="1" applyBorder="1" applyAlignment="1">
      <alignment horizontal="center" vertical="center"/>
    </xf>
    <xf numFmtId="14" fontId="0" fillId="0" borderId="0" xfId="0" applyNumberFormat="1" applyAlignment="1">
      <alignment horizontal="center"/>
    </xf>
    <xf numFmtId="0" fontId="0" fillId="0" borderId="0" xfId="0" applyAlignment="1">
      <alignment horizontal="left"/>
    </xf>
    <xf numFmtId="164" fontId="0" fillId="0" borderId="0" xfId="1" applyFont="1"/>
    <xf numFmtId="164" fontId="0" fillId="0" borderId="0" xfId="0" applyNumberFormat="1"/>
    <xf numFmtId="0" fontId="3" fillId="0" borderId="0" xfId="0" applyFont="1"/>
    <xf numFmtId="164" fontId="3" fillId="0" borderId="0" xfId="0" applyNumberFormat="1" applyFont="1"/>
    <xf numFmtId="0" fontId="2" fillId="2" borderId="0" xfId="0" applyFont="1" applyFill="1" applyAlignment="1">
      <alignment horizontal="center" vertical="center"/>
    </xf>
    <xf numFmtId="0" fontId="0" fillId="0" borderId="0" xfId="0" pivotButton="1"/>
    <xf numFmtId="165" fontId="0" fillId="0" borderId="0" xfId="0" pivotButton="1" applyNumberFormat="1"/>
    <xf numFmtId="165" fontId="0" fillId="0" borderId="0" xfId="0" applyNumberFormat="1"/>
    <xf numFmtId="165" fontId="0" fillId="0" borderId="0" xfId="0" applyNumberFormat="1" applyAlignment="1">
      <alignment horizontal="left"/>
    </xf>
    <xf numFmtId="166" fontId="0" fillId="0" borderId="0" xfId="0" applyNumberFormat="1"/>
    <xf numFmtId="0" fontId="0" fillId="0" borderId="0" xfId="0" applyNumberFormat="1"/>
  </cellXfs>
  <cellStyles count="2">
    <cellStyle name="Currency [0]" xfId="1" builtinId="7"/>
    <cellStyle name="Normal" xfId="0" builtinId="0"/>
  </cellStyles>
  <dxfs count="42">
    <dxf>
      <numFmt numFmtId="165" formatCode="_ * #,##0_ ;_ * \-#,##0_ ;_ * &quot;-&quot;??_ ;_ @_ "/>
    </dxf>
    <dxf>
      <numFmt numFmtId="166" formatCode="##\.##,&quot;L&quot;"/>
    </dxf>
    <dxf>
      <numFmt numFmtId="166" formatCode="##\.##,&quot;L&quot;"/>
    </dxf>
    <dxf>
      <numFmt numFmtId="166" formatCode="##\.##,&quot;L&quot;"/>
    </dxf>
    <dxf>
      <numFmt numFmtId="165" formatCode="_ * #,##0_ ;_ * \-#,##0_ ;_ * &quot;-&quot;??_ ;_ @_ "/>
    </dxf>
    <dxf>
      <numFmt numFmtId="165" formatCode="_ * #,##0_ ;_ * \-#,##0_ ;_ * &quot;-&quot;??_ ;_ @_ "/>
    </dxf>
    <dxf>
      <numFmt numFmtId="165" formatCode="_ * #,##0_ ;_ * \-#,##0_ ;_ * &quot;-&quot;??_ ;_ @_ "/>
    </dxf>
    <dxf>
      <numFmt numFmtId="166" formatCode="##\.##,&quot;L&quot;"/>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6" formatCode="##\.##,&quot;L&quot;"/>
    </dxf>
    <dxf>
      <numFmt numFmtId="166" formatCode="##\.##,&quot;L&quot;"/>
    </dxf>
    <dxf>
      <numFmt numFmtId="165" formatCode="_ * #,##0_ ;_ * \-#,##0_ ;_ * &quot;-&quot;??_ ;_ @_ "/>
    </dxf>
    <dxf>
      <numFmt numFmtId="166" formatCode="##\.##,&quot;L&quot;"/>
    </dxf>
    <dxf>
      <numFmt numFmtId="166" formatCode="##\.##,&quot;L&quot;"/>
    </dxf>
    <dxf>
      <numFmt numFmtId="166" formatCode="##\.##,&quot;L&quot;"/>
    </dxf>
    <dxf>
      <numFmt numFmtId="165" formatCode="_ * #,##0_ ;_ * \-#,##0_ ;_ * &quot;-&quot;??_ ;_ @_ "/>
    </dxf>
    <dxf>
      <numFmt numFmtId="165" formatCode="_ * #,##0_ ;_ * \-#,##0_ ;_ * &quot;-&quot;??_ ;_ @_ "/>
    </dxf>
    <dxf>
      <numFmt numFmtId="165" formatCode="_ * #,##0_ ;_ * \-#,##0_ ;_ * &quot;-&quot;??_ ;_ @_ "/>
    </dxf>
    <dxf>
      <numFmt numFmtId="166" formatCode="##\.##,&quot;L&quot;"/>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6" formatCode="##\.##,&quot;L&quot;"/>
    </dxf>
    <dxf>
      <numFmt numFmtId="166" formatCode="##\.##,&quot;L&quot;"/>
    </dxf>
    <dxf>
      <numFmt numFmtId="166" formatCode="##\.##,&quot;L&quot;"/>
    </dxf>
    <dxf>
      <numFmt numFmtId="166" formatCode="##\.##,&quot;L&quot;"/>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6" formatCode="##\.##,&quot;L&quot;"/>
    </dxf>
    <dxf>
      <numFmt numFmtId="166" formatCode="##\.##,&quot;L&quot;"/>
    </dxf>
    <dxf>
      <numFmt numFmtId="166" formatCode="##\.##,&quot;L&quot;"/>
    </dxf>
    <dxf>
      <numFmt numFmtId="165" formatCode="_ * #,##0_ ;_ * \-#,##0_ ;_ * &quot;-&quot;??_ ;_ @_ "/>
    </dxf>
    <dxf>
      <numFmt numFmtId="166" formatCode="##\.##,&quot;L&quot;"/>
    </dxf>
    <dxf>
      <numFmt numFmtId="165" formatCode="_ * #,##0_ ;_ * \-#,##0_ ;_ * &quot;-&quot;??_ ;_ @_ "/>
    </dxf>
    <dxf>
      <numFmt numFmtId="165" formatCode="_ * #,##0_ ;_ * \-#,##0_ ;_ * &quot;-&quot;??_ ;_ @_ "/>
    </dxf>
    <dxf>
      <numFmt numFmtId="165" formatCode="_ * #,##0_ ;_ * \-#,##0_ ;_ * &quot;-&quot;??_ ;_ @_ "/>
    </dxf>
  </dxfs>
  <tableStyles count="1" defaultTableStyle="TableStyleMedium2" defaultPivotStyle="PivotStyleLight16">
    <tableStyle name="Invisible" pivot="0" table="0" count="0" xr9:uid="{BDFCBA0C-0FAD-47E9-B8E0-311E6D44976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[saran sales dashboard.xlsx]pivot table!PivotTable1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table'!$A$4:$A$9</c:f>
              <c:strCache>
                <c:ptCount val="5"/>
                <c:pt idx="0">
                  <c:v>East</c:v>
                </c:pt>
                <c:pt idx="1">
                  <c:v>North</c:v>
                </c:pt>
                <c:pt idx="2">
                  <c:v>South</c:v>
                </c:pt>
                <c:pt idx="3">
                  <c:v>West</c:v>
                </c:pt>
                <c:pt idx="4">
                  <c:v>(blank)</c:v>
                </c:pt>
              </c:strCache>
            </c:strRef>
          </c:cat>
          <c:val>
            <c:numRef>
              <c:f>'pivot table'!$B$4:$B$9</c:f>
              <c:numCache>
                <c:formatCode>General</c:formatCode>
                <c:ptCount val="5"/>
                <c:pt idx="0">
                  <c:v>3534400</c:v>
                </c:pt>
                <c:pt idx="1">
                  <c:v>2661400</c:v>
                </c:pt>
                <c:pt idx="2">
                  <c:v>2870600</c:v>
                </c:pt>
                <c:pt idx="3">
                  <c:v>3878100</c:v>
                </c:pt>
              </c:numCache>
            </c:numRef>
          </c:val>
          <c:extLst>
            <c:ext xmlns:c16="http://schemas.microsoft.com/office/drawing/2014/chart" uri="{C3380CC4-5D6E-409C-BE32-E72D297353CC}">
              <c16:uniqueId val="{00000000-871E-429C-A082-5C289B413B8D}"/>
            </c:ext>
          </c:extLst>
        </c:ser>
        <c:dLbls>
          <c:dLblPos val="outEnd"/>
          <c:showLegendKey val="0"/>
          <c:showVal val="1"/>
          <c:showCatName val="0"/>
          <c:showSerName val="0"/>
          <c:showPercent val="0"/>
          <c:showBubbleSize val="0"/>
        </c:dLbls>
        <c:gapWidth val="228"/>
        <c:overlap val="-20"/>
        <c:axId val="59513647"/>
        <c:axId val="59512687"/>
      </c:barChart>
      <c:catAx>
        <c:axId val="595136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12687"/>
        <c:crosses val="autoZero"/>
        <c:auto val="1"/>
        <c:lblAlgn val="ctr"/>
        <c:lblOffset val="100"/>
        <c:noMultiLvlLbl val="0"/>
      </c:catAx>
      <c:valAx>
        <c:axId val="5951268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136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[saran sales dashboard.xlsx]pivot table!PivotTable2</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table'!$E$3:$E$11</c:f>
              <c:strCache>
                <c:ptCount val="8"/>
                <c:pt idx="0">
                  <c:v>Action Figure</c:v>
                </c:pt>
                <c:pt idx="1">
                  <c:v>Blender</c:v>
                </c:pt>
                <c:pt idx="2">
                  <c:v>Moisturizer</c:v>
                </c:pt>
                <c:pt idx="3">
                  <c:v>Novel</c:v>
                </c:pt>
                <c:pt idx="4">
                  <c:v>Smartphone</c:v>
                </c:pt>
                <c:pt idx="5">
                  <c:v>Sneakers</c:v>
                </c:pt>
                <c:pt idx="6">
                  <c:v>Tent</c:v>
                </c:pt>
                <c:pt idx="7">
                  <c:v>(blank)</c:v>
                </c:pt>
              </c:strCache>
            </c:strRef>
          </c:cat>
          <c:val>
            <c:numRef>
              <c:f>'pivot table'!$F$3:$F$11</c:f>
              <c:numCache>
                <c:formatCode>General</c:formatCode>
                <c:ptCount val="8"/>
                <c:pt idx="0">
                  <c:v>547200</c:v>
                </c:pt>
                <c:pt idx="1">
                  <c:v>2222500</c:v>
                </c:pt>
                <c:pt idx="2">
                  <c:v>706800</c:v>
                </c:pt>
                <c:pt idx="3">
                  <c:v>898000</c:v>
                </c:pt>
                <c:pt idx="4">
                  <c:v>2350000</c:v>
                </c:pt>
                <c:pt idx="5">
                  <c:v>3196000</c:v>
                </c:pt>
                <c:pt idx="6">
                  <c:v>3024000</c:v>
                </c:pt>
              </c:numCache>
            </c:numRef>
          </c:val>
          <c:extLst>
            <c:ext xmlns:c16="http://schemas.microsoft.com/office/drawing/2014/chart" uri="{C3380CC4-5D6E-409C-BE32-E72D297353CC}">
              <c16:uniqueId val="{00000000-0366-4E29-83CD-6921995856D0}"/>
            </c:ext>
          </c:extLst>
        </c:ser>
        <c:dLbls>
          <c:dLblPos val="outEnd"/>
          <c:showLegendKey val="0"/>
          <c:showVal val="1"/>
          <c:showCatName val="0"/>
          <c:showSerName val="0"/>
          <c:showPercent val="0"/>
          <c:showBubbleSize val="0"/>
        </c:dLbls>
        <c:gapWidth val="182"/>
        <c:axId val="59538127"/>
        <c:axId val="59538607"/>
      </c:barChart>
      <c:catAx>
        <c:axId val="59538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38607"/>
        <c:crosses val="autoZero"/>
        <c:auto val="1"/>
        <c:lblAlgn val="ctr"/>
        <c:lblOffset val="100"/>
        <c:noMultiLvlLbl val="0"/>
      </c:catAx>
      <c:valAx>
        <c:axId val="59538607"/>
        <c:scaling>
          <c:orientation val="minMax"/>
        </c:scaling>
        <c:delete val="1"/>
        <c:axPos val="b"/>
        <c:numFmt formatCode="General" sourceLinked="1"/>
        <c:majorTickMark val="none"/>
        <c:minorTickMark val="none"/>
        <c:tickLblPos val="nextTo"/>
        <c:crossAx val="595381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[saran sales dashboard.xlsx]pivot table!PivotTable4</c:name>
    <c:fmtId val="17"/>
  </c:pivotSource>
  <c:chart>
    <c:autoTitleDeleted val="1"/>
    <c:pivotFmts>
      <c:pivotFmt>
        <c:idx val="0"/>
        <c:spPr>
          <a:solidFill>
            <a:schemeClr val="accent1"/>
          </a:solidFill>
          <a:ln w="28575" cap="rnd">
            <a:solidFill>
              <a:schemeClr val="accent1"/>
            </a:solidFill>
            <a:round/>
          </a:ln>
          <a:effectLst>
            <a:glow>
              <a:schemeClr val="accent1"/>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a:glow>
              <a:schemeClr val="accent1"/>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a:glow>
              <a:schemeClr val="accent1"/>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table'!$M$3</c:f>
              <c:strCache>
                <c:ptCount val="1"/>
                <c:pt idx="0">
                  <c:v>Total</c:v>
                </c:pt>
              </c:strCache>
            </c:strRef>
          </c:tx>
          <c:spPr>
            <a:ln w="28575" cap="rnd">
              <a:solidFill>
                <a:schemeClr val="accent1"/>
              </a:solidFill>
              <a:round/>
            </a:ln>
            <a:effectLst>
              <a:glow>
                <a:schemeClr val="accent1"/>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Err"/>
            <c:noEndCap val="0"/>
            <c:spPr>
              <a:noFill/>
              <a:ln w="9525" cap="flat" cmpd="sng" algn="ctr">
                <a:solidFill>
                  <a:schemeClr val="tx1">
                    <a:lumMod val="65000"/>
                    <a:lumOff val="35000"/>
                  </a:schemeClr>
                </a:solidFill>
                <a:round/>
              </a:ln>
              <a:effectLst/>
            </c:spPr>
          </c:errBars>
          <c:cat>
            <c:strRef>
              <c:f>'pivot table'!$L$4:$L$15</c:f>
              <c:strCache>
                <c:ptCount val="11"/>
                <c:pt idx="0">
                  <c:v>Andrew</c:v>
                </c:pt>
                <c:pt idx="1">
                  <c:v>Anna</c:v>
                </c:pt>
                <c:pt idx="2">
                  <c:v>Cameron</c:v>
                </c:pt>
                <c:pt idx="3">
                  <c:v>Carolyn</c:v>
                </c:pt>
                <c:pt idx="4">
                  <c:v>Connor</c:v>
                </c:pt>
                <c:pt idx="5">
                  <c:v>Ella</c:v>
                </c:pt>
                <c:pt idx="6">
                  <c:v>Grace</c:v>
                </c:pt>
                <c:pt idx="7">
                  <c:v>Megan</c:v>
                </c:pt>
                <c:pt idx="8">
                  <c:v>Nicholas</c:v>
                </c:pt>
                <c:pt idx="9">
                  <c:v>Virginia</c:v>
                </c:pt>
                <c:pt idx="10">
                  <c:v>(blank)</c:v>
                </c:pt>
              </c:strCache>
            </c:strRef>
          </c:cat>
          <c:val>
            <c:numRef>
              <c:f>'pivot table'!$M$4:$M$15</c:f>
              <c:numCache>
                <c:formatCode>General</c:formatCode>
                <c:ptCount val="11"/>
                <c:pt idx="0">
                  <c:v>1591600</c:v>
                </c:pt>
                <c:pt idx="1">
                  <c:v>677600</c:v>
                </c:pt>
                <c:pt idx="2">
                  <c:v>1957000</c:v>
                </c:pt>
                <c:pt idx="3">
                  <c:v>1661400</c:v>
                </c:pt>
                <c:pt idx="4">
                  <c:v>1741200</c:v>
                </c:pt>
                <c:pt idx="5">
                  <c:v>1110000</c:v>
                </c:pt>
                <c:pt idx="6">
                  <c:v>1777400</c:v>
                </c:pt>
                <c:pt idx="7">
                  <c:v>1065400</c:v>
                </c:pt>
                <c:pt idx="8">
                  <c:v>784400</c:v>
                </c:pt>
                <c:pt idx="9">
                  <c:v>578500</c:v>
                </c:pt>
              </c:numCache>
            </c:numRef>
          </c:val>
          <c:smooth val="0"/>
          <c:extLst>
            <c:ext xmlns:c16="http://schemas.microsoft.com/office/drawing/2014/chart" uri="{C3380CC4-5D6E-409C-BE32-E72D297353CC}">
              <c16:uniqueId val="{00000000-7AFE-4DB1-A265-2E0A1A69675C}"/>
            </c:ext>
          </c:extLst>
        </c:ser>
        <c:dLbls>
          <c:dLblPos val="t"/>
          <c:showLegendKey val="0"/>
          <c:showVal val="1"/>
          <c:showCatName val="0"/>
          <c:showSerName val="0"/>
          <c:showPercent val="0"/>
          <c:showBubbleSize val="0"/>
        </c:dLbls>
        <c:smooth val="0"/>
        <c:axId val="199792671"/>
        <c:axId val="199790751"/>
      </c:lineChart>
      <c:catAx>
        <c:axId val="1997926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90751"/>
        <c:crosses val="autoZero"/>
        <c:auto val="1"/>
        <c:lblAlgn val="ctr"/>
        <c:lblOffset val="100"/>
        <c:noMultiLvlLbl val="0"/>
      </c:catAx>
      <c:valAx>
        <c:axId val="199790751"/>
        <c:scaling>
          <c:orientation val="minMax"/>
        </c:scaling>
        <c:delete val="1"/>
        <c:axPos val="l"/>
        <c:numFmt formatCode="General" sourceLinked="1"/>
        <c:majorTickMark val="none"/>
        <c:minorTickMark val="none"/>
        <c:tickLblPos val="nextTo"/>
        <c:crossAx val="1997926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[saran sales dashboard.xlsx]pivot table!PivotTable3</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4.1666666666666567E-2"/>
              <c:y val="-0.140901771336553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9.4444444444444442E-2"/>
              <c:y val="-9.05797101449275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8.0555555555555561E-2"/>
              <c:y val="0.100644122383252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5.8333333333333286E-2"/>
              <c:y val="0.120772946859903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dLbl>
          <c:idx val="0"/>
          <c:layout>
            <c:manualLayout>
              <c:x val="-0.11666666666666667"/>
              <c:y val="-7.54830917874396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dLbl>
          <c:idx val="0"/>
          <c:layout>
            <c:manualLayout>
              <c:x val="-9.166666666666666E-2"/>
              <c:y val="-0.181159420289855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schemeClr>
          </a:solidFill>
          <a:ln w="19050">
            <a:solidFill>
              <a:schemeClr val="lt1"/>
            </a:solidFill>
          </a:ln>
          <a:effectLst/>
        </c:spPr>
        <c:dLbl>
          <c:idx val="0"/>
          <c:layout>
            <c:manualLayout>
              <c:x val="-1.1111111111111112E-2"/>
              <c:y val="-0.130837359098228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4.1666666666666567E-2"/>
              <c:y val="-0.140901771336553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4444444444444442E-2"/>
              <c:y val="-9.05797101449275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8.0555555555555561E-2"/>
              <c:y val="0.100644122383252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5.8333333333333286E-2"/>
              <c:y val="0.120772946859903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1666666666666667"/>
              <c:y val="-7.54830917874396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9.166666666666666E-2"/>
              <c:y val="-0.181159420289855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1.1111111111111112E-2"/>
              <c:y val="-0.130837359098228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4.1666666666666567E-2"/>
              <c:y val="-0.140901771336553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9.4444444444444442E-2"/>
              <c:y val="-9.05797101449275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8.0555555555555561E-2"/>
              <c:y val="0.100644122383252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5.8333333333333286E-2"/>
              <c:y val="0.120772946859903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0.11666666666666667"/>
              <c:y val="-7.54830917874396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9.166666666666666E-2"/>
              <c:y val="-0.181159420289855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1.1111111111111112E-2"/>
              <c:y val="-0.130837359098228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s>
    <c:plotArea>
      <c:layout/>
      <c:doughnutChart>
        <c:varyColors val="1"/>
        <c:ser>
          <c:idx val="0"/>
          <c:order val="0"/>
          <c:tx>
            <c:strRef>
              <c:f>'pivot table'!$I$2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934-4732-864C-60595728D91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934-4732-864C-60595728D91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934-4732-864C-60595728D91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934-4732-864C-60595728D91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934-4732-864C-60595728D91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934-4732-864C-60595728D91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934-4732-864C-60595728D91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3A9-47A8-BB83-2D2C84ADC10A}"/>
              </c:ext>
            </c:extLst>
          </c:dPt>
          <c:dLbls>
            <c:dLbl>
              <c:idx val="0"/>
              <c:layout>
                <c:manualLayout>
                  <c:x val="4.1666666666666567E-2"/>
                  <c:y val="-0.140901771336553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934-4732-864C-60595728D915}"/>
                </c:ext>
              </c:extLst>
            </c:dLbl>
            <c:dLbl>
              <c:idx val="1"/>
              <c:layout>
                <c:manualLayout>
                  <c:x val="9.4444444444444442E-2"/>
                  <c:y val="-9.05797101449275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934-4732-864C-60595728D915}"/>
                </c:ext>
              </c:extLst>
            </c:dLbl>
            <c:dLbl>
              <c:idx val="2"/>
              <c:layout>
                <c:manualLayout>
                  <c:x val="8.0555555555555561E-2"/>
                  <c:y val="0.100644122383252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934-4732-864C-60595728D915}"/>
                </c:ext>
              </c:extLst>
            </c:dLbl>
            <c:dLbl>
              <c:idx val="3"/>
              <c:layout>
                <c:manualLayout>
                  <c:x val="-5.8333333333333286E-2"/>
                  <c:y val="0.120772946859903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934-4732-864C-60595728D915}"/>
                </c:ext>
              </c:extLst>
            </c:dLbl>
            <c:dLbl>
              <c:idx val="4"/>
              <c:layout>
                <c:manualLayout>
                  <c:x val="-0.11666666666666667"/>
                  <c:y val="-7.54830917874396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934-4732-864C-60595728D915}"/>
                </c:ext>
              </c:extLst>
            </c:dLbl>
            <c:dLbl>
              <c:idx val="5"/>
              <c:layout>
                <c:manualLayout>
                  <c:x val="-9.166666666666666E-2"/>
                  <c:y val="-0.181159420289855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934-4732-864C-60595728D915}"/>
                </c:ext>
              </c:extLst>
            </c:dLbl>
            <c:dLbl>
              <c:idx val="6"/>
              <c:layout>
                <c:manualLayout>
                  <c:x val="-1.1111111111111112E-2"/>
                  <c:y val="-0.130837359098228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934-4732-864C-60595728D91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solidFill>
                  <a:round/>
                </a:ln>
                <a:effectLst/>
              </c:spPr>
            </c:leaderLines>
            <c:extLst>
              <c:ext xmlns:c15="http://schemas.microsoft.com/office/drawing/2012/chart" uri="{CE6537A1-D6FC-4f65-9D91-7224C49458BB}"/>
            </c:extLst>
          </c:dLbls>
          <c:cat>
            <c:strRef>
              <c:f>'pivot table'!$H$3:$H$11</c:f>
              <c:strCache>
                <c:ptCount val="8"/>
                <c:pt idx="0">
                  <c:v>Action Figure</c:v>
                </c:pt>
                <c:pt idx="1">
                  <c:v>Blender</c:v>
                </c:pt>
                <c:pt idx="2">
                  <c:v>Moisturizer</c:v>
                </c:pt>
                <c:pt idx="3">
                  <c:v>Novel</c:v>
                </c:pt>
                <c:pt idx="4">
                  <c:v>Smartphone</c:v>
                </c:pt>
                <c:pt idx="5">
                  <c:v>Sneakers</c:v>
                </c:pt>
                <c:pt idx="6">
                  <c:v>Tent</c:v>
                </c:pt>
                <c:pt idx="7">
                  <c:v>(blank)</c:v>
                </c:pt>
              </c:strCache>
            </c:strRef>
          </c:cat>
          <c:val>
            <c:numRef>
              <c:f>'pivot table'!$I$3:$I$11</c:f>
              <c:numCache>
                <c:formatCode>General</c:formatCode>
                <c:ptCount val="8"/>
                <c:pt idx="0">
                  <c:v>456</c:v>
                </c:pt>
                <c:pt idx="1">
                  <c:v>635</c:v>
                </c:pt>
                <c:pt idx="2">
                  <c:v>1178</c:v>
                </c:pt>
                <c:pt idx="3">
                  <c:v>898</c:v>
                </c:pt>
                <c:pt idx="4">
                  <c:v>235</c:v>
                </c:pt>
                <c:pt idx="5">
                  <c:v>799</c:v>
                </c:pt>
                <c:pt idx="6">
                  <c:v>504</c:v>
                </c:pt>
              </c:numCache>
            </c:numRef>
          </c:val>
          <c:extLst>
            <c:ext xmlns:c16="http://schemas.microsoft.com/office/drawing/2014/chart" uri="{C3380CC4-5D6E-409C-BE32-E72D297353CC}">
              <c16:uniqueId val="{0000000E-A934-4732-864C-60595728D915}"/>
            </c:ext>
          </c:extLst>
        </c:ser>
        <c:dLbls>
          <c:showLegendKey val="0"/>
          <c:showVal val="1"/>
          <c:showCatName val="0"/>
          <c:showSerName val="0"/>
          <c:showPercent val="0"/>
          <c:showBubbleSize val="0"/>
          <c:showLeaderLines val="1"/>
        </c:dLbls>
        <c:firstSliceAng val="0"/>
        <c:holeSize val="54"/>
      </c:doughnutChart>
      <c:spPr>
        <a:noFill/>
        <a:ln>
          <a:solidFill>
            <a:schemeClr val="tx1">
              <a:lumMod val="15000"/>
              <a:lumOff val="85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lumMod val="15000"/>
          <a:lumOff val="85000"/>
        </a:schemeClr>
      </a:solid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[saran sales dashboard.xlsx]pivot table!PivotTable1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table'!$A$4:$A$9</c:f>
              <c:strCache>
                <c:ptCount val="5"/>
                <c:pt idx="0">
                  <c:v>East</c:v>
                </c:pt>
                <c:pt idx="1">
                  <c:v>North</c:v>
                </c:pt>
                <c:pt idx="2">
                  <c:v>South</c:v>
                </c:pt>
                <c:pt idx="3">
                  <c:v>West</c:v>
                </c:pt>
                <c:pt idx="4">
                  <c:v>(blank)</c:v>
                </c:pt>
              </c:strCache>
            </c:strRef>
          </c:cat>
          <c:val>
            <c:numRef>
              <c:f>'pivot table'!$B$4:$B$9</c:f>
              <c:numCache>
                <c:formatCode>General</c:formatCode>
                <c:ptCount val="5"/>
                <c:pt idx="0">
                  <c:v>3534400</c:v>
                </c:pt>
                <c:pt idx="1">
                  <c:v>2661400</c:v>
                </c:pt>
                <c:pt idx="2">
                  <c:v>2870600</c:v>
                </c:pt>
                <c:pt idx="3">
                  <c:v>3878100</c:v>
                </c:pt>
              </c:numCache>
            </c:numRef>
          </c:val>
          <c:extLst>
            <c:ext xmlns:c16="http://schemas.microsoft.com/office/drawing/2014/chart" uri="{C3380CC4-5D6E-409C-BE32-E72D297353CC}">
              <c16:uniqueId val="{00000000-DD48-40A5-86D5-91FC1617A5C8}"/>
            </c:ext>
          </c:extLst>
        </c:ser>
        <c:dLbls>
          <c:dLblPos val="outEnd"/>
          <c:showLegendKey val="0"/>
          <c:showVal val="1"/>
          <c:showCatName val="0"/>
          <c:showSerName val="0"/>
          <c:showPercent val="0"/>
          <c:showBubbleSize val="0"/>
        </c:dLbls>
        <c:gapWidth val="228"/>
        <c:overlap val="-20"/>
        <c:axId val="59513647"/>
        <c:axId val="59512687"/>
      </c:barChart>
      <c:catAx>
        <c:axId val="595136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12687"/>
        <c:crosses val="autoZero"/>
        <c:auto val="1"/>
        <c:lblAlgn val="ctr"/>
        <c:lblOffset val="100"/>
        <c:noMultiLvlLbl val="0"/>
      </c:catAx>
      <c:valAx>
        <c:axId val="5951268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136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[saran sales dashboard.xlsx]pivot table!PivotTable2</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table'!$E$3:$E$11</c:f>
              <c:strCache>
                <c:ptCount val="8"/>
                <c:pt idx="0">
                  <c:v>Action Figure</c:v>
                </c:pt>
                <c:pt idx="1">
                  <c:v>Blender</c:v>
                </c:pt>
                <c:pt idx="2">
                  <c:v>Moisturizer</c:v>
                </c:pt>
                <c:pt idx="3">
                  <c:v>Novel</c:v>
                </c:pt>
                <c:pt idx="4">
                  <c:v>Smartphone</c:v>
                </c:pt>
                <c:pt idx="5">
                  <c:v>Sneakers</c:v>
                </c:pt>
                <c:pt idx="6">
                  <c:v>Tent</c:v>
                </c:pt>
                <c:pt idx="7">
                  <c:v>(blank)</c:v>
                </c:pt>
              </c:strCache>
            </c:strRef>
          </c:cat>
          <c:val>
            <c:numRef>
              <c:f>'pivot table'!$F$3:$F$11</c:f>
              <c:numCache>
                <c:formatCode>General</c:formatCode>
                <c:ptCount val="8"/>
                <c:pt idx="0">
                  <c:v>547200</c:v>
                </c:pt>
                <c:pt idx="1">
                  <c:v>2222500</c:v>
                </c:pt>
                <c:pt idx="2">
                  <c:v>706800</c:v>
                </c:pt>
                <c:pt idx="3">
                  <c:v>898000</c:v>
                </c:pt>
                <c:pt idx="4">
                  <c:v>2350000</c:v>
                </c:pt>
                <c:pt idx="5">
                  <c:v>3196000</c:v>
                </c:pt>
                <c:pt idx="6">
                  <c:v>3024000</c:v>
                </c:pt>
              </c:numCache>
            </c:numRef>
          </c:val>
          <c:extLst>
            <c:ext xmlns:c16="http://schemas.microsoft.com/office/drawing/2014/chart" uri="{C3380CC4-5D6E-409C-BE32-E72D297353CC}">
              <c16:uniqueId val="{00000000-31D5-47F5-B7FC-A8325DC36AC0}"/>
            </c:ext>
          </c:extLst>
        </c:ser>
        <c:dLbls>
          <c:dLblPos val="outEnd"/>
          <c:showLegendKey val="0"/>
          <c:showVal val="1"/>
          <c:showCatName val="0"/>
          <c:showSerName val="0"/>
          <c:showPercent val="0"/>
          <c:showBubbleSize val="0"/>
        </c:dLbls>
        <c:gapWidth val="182"/>
        <c:axId val="59538127"/>
        <c:axId val="59538607"/>
      </c:barChart>
      <c:catAx>
        <c:axId val="59538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38607"/>
        <c:crosses val="autoZero"/>
        <c:auto val="1"/>
        <c:lblAlgn val="ctr"/>
        <c:lblOffset val="100"/>
        <c:noMultiLvlLbl val="0"/>
      </c:catAx>
      <c:valAx>
        <c:axId val="59538607"/>
        <c:scaling>
          <c:orientation val="minMax"/>
        </c:scaling>
        <c:delete val="1"/>
        <c:axPos val="b"/>
        <c:numFmt formatCode="General" sourceLinked="1"/>
        <c:majorTickMark val="none"/>
        <c:minorTickMark val="none"/>
        <c:tickLblPos val="nextTo"/>
        <c:crossAx val="595381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[saran sales dashboard.xlsx]pivot table!PivotTable3</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4.1666666666666567E-2"/>
              <c:y val="-0.140901771336553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9.4444444444444442E-2"/>
              <c:y val="-9.05797101449275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8.0555555555555561E-2"/>
              <c:y val="0.100644122383252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5.8333333333333286E-2"/>
              <c:y val="0.120772946859903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dLbl>
          <c:idx val="0"/>
          <c:layout>
            <c:manualLayout>
              <c:x val="-0.11666666666666667"/>
              <c:y val="-7.54830917874396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8.0555555555555561E-2"/>
              <c:y val="0.100644122383252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5.8333333333333286E-2"/>
              <c:y val="0.120772946859903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table'!$I$2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F8D5-43E8-B423-079C70C728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8D5-43E8-B423-079C70C728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F8D5-43E8-B423-079C70C728E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F8D5-43E8-B423-079C70C728E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6-F8D5-43E8-B423-079C70C728E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7-F8D5-43E8-B423-079C70C728E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8-F8D5-43E8-B423-079C70C728E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E82-4A8C-A929-076646FCCBF8}"/>
              </c:ext>
            </c:extLst>
          </c:dPt>
          <c:dLbls>
            <c:dLbl>
              <c:idx val="0"/>
              <c:layout>
                <c:manualLayout>
                  <c:x val="4.1666666666666567E-2"/>
                  <c:y val="-0.140901771336553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8D5-43E8-B423-079C70C728E4}"/>
                </c:ext>
              </c:extLst>
            </c:dLbl>
            <c:dLbl>
              <c:idx val="1"/>
              <c:layout>
                <c:manualLayout>
                  <c:x val="9.4444444444444442E-2"/>
                  <c:y val="-9.05797101449275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8D5-43E8-B423-079C70C728E4}"/>
                </c:ext>
              </c:extLst>
            </c:dLbl>
            <c:dLbl>
              <c:idx val="2"/>
              <c:layout>
                <c:manualLayout>
                  <c:x val="8.0555555555555561E-2"/>
                  <c:y val="0.100644122383252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8D5-43E8-B423-079C70C728E4}"/>
                </c:ext>
              </c:extLst>
            </c:dLbl>
            <c:dLbl>
              <c:idx val="3"/>
              <c:layout>
                <c:manualLayout>
                  <c:x val="-5.8333333333333286E-2"/>
                  <c:y val="0.120772946859903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8D5-43E8-B423-079C70C728E4}"/>
                </c:ext>
              </c:extLst>
            </c:dLbl>
            <c:dLbl>
              <c:idx val="4"/>
              <c:layout>
                <c:manualLayout>
                  <c:x val="-0.11666666666666667"/>
                  <c:y val="-7.54830917874396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8D5-43E8-B423-079C70C728E4}"/>
                </c:ext>
              </c:extLst>
            </c:dLbl>
            <c:dLbl>
              <c:idx val="5"/>
              <c:layout>
                <c:manualLayout>
                  <c:x val="8.0555555555555561E-2"/>
                  <c:y val="0.100644122383252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8D5-43E8-B423-079C70C728E4}"/>
                </c:ext>
              </c:extLst>
            </c:dLbl>
            <c:dLbl>
              <c:idx val="6"/>
              <c:layout>
                <c:manualLayout>
                  <c:x val="-5.8333333333333286E-2"/>
                  <c:y val="0.120772946859903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8D5-43E8-B423-079C70C728E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solidFill>
                  <a:round/>
                </a:ln>
                <a:effectLst/>
              </c:spPr>
            </c:leaderLines>
            <c:extLst>
              <c:ext xmlns:c15="http://schemas.microsoft.com/office/drawing/2012/chart" uri="{CE6537A1-D6FC-4f65-9D91-7224C49458BB}"/>
            </c:extLst>
          </c:dLbls>
          <c:cat>
            <c:strRef>
              <c:f>'pivot table'!$H$3:$H$11</c:f>
              <c:strCache>
                <c:ptCount val="8"/>
                <c:pt idx="0">
                  <c:v>Action Figure</c:v>
                </c:pt>
                <c:pt idx="1">
                  <c:v>Blender</c:v>
                </c:pt>
                <c:pt idx="2">
                  <c:v>Moisturizer</c:v>
                </c:pt>
                <c:pt idx="3">
                  <c:v>Novel</c:v>
                </c:pt>
                <c:pt idx="4">
                  <c:v>Smartphone</c:v>
                </c:pt>
                <c:pt idx="5">
                  <c:v>Sneakers</c:v>
                </c:pt>
                <c:pt idx="6">
                  <c:v>Tent</c:v>
                </c:pt>
                <c:pt idx="7">
                  <c:v>(blank)</c:v>
                </c:pt>
              </c:strCache>
            </c:strRef>
          </c:cat>
          <c:val>
            <c:numRef>
              <c:f>'pivot table'!$I$3:$I$11</c:f>
              <c:numCache>
                <c:formatCode>General</c:formatCode>
                <c:ptCount val="8"/>
                <c:pt idx="0">
                  <c:v>456</c:v>
                </c:pt>
                <c:pt idx="1">
                  <c:v>635</c:v>
                </c:pt>
                <c:pt idx="2">
                  <c:v>1178</c:v>
                </c:pt>
                <c:pt idx="3">
                  <c:v>898</c:v>
                </c:pt>
                <c:pt idx="4">
                  <c:v>235</c:v>
                </c:pt>
                <c:pt idx="5">
                  <c:v>799</c:v>
                </c:pt>
                <c:pt idx="6">
                  <c:v>504</c:v>
                </c:pt>
              </c:numCache>
            </c:numRef>
          </c:val>
          <c:extLst>
            <c:ext xmlns:c16="http://schemas.microsoft.com/office/drawing/2014/chart" uri="{C3380CC4-5D6E-409C-BE32-E72D297353CC}">
              <c16:uniqueId val="{00000000-F8D5-43E8-B423-079C70C728E4}"/>
            </c:ext>
          </c:extLst>
        </c:ser>
        <c:dLbls>
          <c:showLegendKey val="0"/>
          <c:showVal val="1"/>
          <c:showCatName val="0"/>
          <c:showSerName val="0"/>
          <c:showPercent val="0"/>
          <c:showBubbleSize val="0"/>
          <c:showLeaderLines val="1"/>
        </c:dLbls>
        <c:firstSliceAng val="0"/>
        <c:holeSize val="54"/>
      </c:doughnutChart>
      <c:spPr>
        <a:noFill/>
        <a:ln>
          <a:solidFill>
            <a:schemeClr val="tx1">
              <a:lumMod val="15000"/>
              <a:lumOff val="85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lumMod val="15000"/>
          <a:lumOff val="85000"/>
        </a:schemeClr>
      </a:solid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[saran sales dashboard.xlsx]pivot table!PivotTable4</c:name>
    <c:fmtId val="10"/>
  </c:pivotSource>
  <c:chart>
    <c:autoTitleDeleted val="1"/>
    <c:pivotFmts>
      <c:pivotFmt>
        <c:idx val="0"/>
        <c:spPr>
          <a:ln w="28575" cap="rnd">
            <a:solidFill>
              <a:schemeClr val="accent1"/>
            </a:solidFill>
            <a:round/>
          </a:ln>
          <a:effectLst>
            <a:glow>
              <a:schemeClr val="accent1"/>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table'!$M$3</c:f>
              <c:strCache>
                <c:ptCount val="1"/>
                <c:pt idx="0">
                  <c:v>Total</c:v>
                </c:pt>
              </c:strCache>
            </c:strRef>
          </c:tx>
          <c:spPr>
            <a:ln w="28575" cap="rnd">
              <a:solidFill>
                <a:schemeClr val="accent1"/>
              </a:solidFill>
              <a:round/>
            </a:ln>
            <a:effectLst>
              <a:glow>
                <a:schemeClr val="accent1"/>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Err"/>
            <c:noEndCap val="0"/>
            <c:spPr>
              <a:noFill/>
              <a:ln w="9525" cap="flat" cmpd="sng" algn="ctr">
                <a:solidFill>
                  <a:schemeClr val="tx1">
                    <a:lumMod val="65000"/>
                    <a:lumOff val="35000"/>
                  </a:schemeClr>
                </a:solidFill>
                <a:round/>
              </a:ln>
              <a:effectLst/>
            </c:spPr>
          </c:errBars>
          <c:cat>
            <c:strRef>
              <c:f>'pivot table'!$L$4:$L$15</c:f>
              <c:strCache>
                <c:ptCount val="11"/>
                <c:pt idx="0">
                  <c:v>Andrew</c:v>
                </c:pt>
                <c:pt idx="1">
                  <c:v>Anna</c:v>
                </c:pt>
                <c:pt idx="2">
                  <c:v>Cameron</c:v>
                </c:pt>
                <c:pt idx="3">
                  <c:v>Carolyn</c:v>
                </c:pt>
                <c:pt idx="4">
                  <c:v>Connor</c:v>
                </c:pt>
                <c:pt idx="5">
                  <c:v>Ella</c:v>
                </c:pt>
                <c:pt idx="6">
                  <c:v>Grace</c:v>
                </c:pt>
                <c:pt idx="7">
                  <c:v>Megan</c:v>
                </c:pt>
                <c:pt idx="8">
                  <c:v>Nicholas</c:v>
                </c:pt>
                <c:pt idx="9">
                  <c:v>Virginia</c:v>
                </c:pt>
                <c:pt idx="10">
                  <c:v>(blank)</c:v>
                </c:pt>
              </c:strCache>
            </c:strRef>
          </c:cat>
          <c:val>
            <c:numRef>
              <c:f>'pivot table'!$M$4:$M$15</c:f>
              <c:numCache>
                <c:formatCode>General</c:formatCode>
                <c:ptCount val="11"/>
                <c:pt idx="0">
                  <c:v>1591600</c:v>
                </c:pt>
                <c:pt idx="1">
                  <c:v>677600</c:v>
                </c:pt>
                <c:pt idx="2">
                  <c:v>1957000</c:v>
                </c:pt>
                <c:pt idx="3">
                  <c:v>1661400</c:v>
                </c:pt>
                <c:pt idx="4">
                  <c:v>1741200</c:v>
                </c:pt>
                <c:pt idx="5">
                  <c:v>1110000</c:v>
                </c:pt>
                <c:pt idx="6">
                  <c:v>1777400</c:v>
                </c:pt>
                <c:pt idx="7">
                  <c:v>1065400</c:v>
                </c:pt>
                <c:pt idx="8">
                  <c:v>784400</c:v>
                </c:pt>
                <c:pt idx="9">
                  <c:v>578500</c:v>
                </c:pt>
              </c:numCache>
            </c:numRef>
          </c:val>
          <c:smooth val="0"/>
          <c:extLst>
            <c:ext xmlns:c16="http://schemas.microsoft.com/office/drawing/2014/chart" uri="{C3380CC4-5D6E-409C-BE32-E72D297353CC}">
              <c16:uniqueId val="{00000000-5ACE-4D6A-8EF5-A4B6D9EE64E2}"/>
            </c:ext>
          </c:extLst>
        </c:ser>
        <c:dLbls>
          <c:dLblPos val="t"/>
          <c:showLegendKey val="0"/>
          <c:showVal val="1"/>
          <c:showCatName val="0"/>
          <c:showSerName val="0"/>
          <c:showPercent val="0"/>
          <c:showBubbleSize val="0"/>
        </c:dLbls>
        <c:smooth val="0"/>
        <c:axId val="199792671"/>
        <c:axId val="199790751"/>
      </c:lineChart>
      <c:catAx>
        <c:axId val="1997926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90751"/>
        <c:crosses val="autoZero"/>
        <c:auto val="1"/>
        <c:lblAlgn val="ctr"/>
        <c:lblOffset val="100"/>
        <c:noMultiLvlLbl val="0"/>
      </c:catAx>
      <c:valAx>
        <c:axId val="199790751"/>
        <c:scaling>
          <c:orientation val="minMax"/>
        </c:scaling>
        <c:delete val="1"/>
        <c:axPos val="l"/>
        <c:numFmt formatCode="General" sourceLinked="1"/>
        <c:majorTickMark val="none"/>
        <c:minorTickMark val="none"/>
        <c:tickLblPos val="nextTo"/>
        <c:crossAx val="1997926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9.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image" Target="../media/image10.svg"/></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15240</xdr:colOff>
      <xdr:row>0</xdr:row>
      <xdr:rowOff>0</xdr:rowOff>
    </xdr:from>
    <xdr:to>
      <xdr:col>15</xdr:col>
      <xdr:colOff>228600</xdr:colOff>
      <xdr:row>6</xdr:row>
      <xdr:rowOff>30480</xdr:rowOff>
    </xdr:to>
    <xdr:sp macro="" textlink="">
      <xdr:nvSpPr>
        <xdr:cNvPr id="2" name="Rectangle: Rounded Corners 1">
          <a:extLst>
            <a:ext uri="{FF2B5EF4-FFF2-40B4-BE49-F238E27FC236}">
              <a16:creationId xmlns:a16="http://schemas.microsoft.com/office/drawing/2014/main" id="{A87136F5-B8AD-E150-35DC-9050DB29953D}"/>
            </a:ext>
          </a:extLst>
        </xdr:cNvPr>
        <xdr:cNvSpPr/>
      </xdr:nvSpPr>
      <xdr:spPr>
        <a:xfrm>
          <a:off x="15240" y="0"/>
          <a:ext cx="9357360" cy="11277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152400</xdr:colOff>
      <xdr:row>1</xdr:row>
      <xdr:rowOff>45720</xdr:rowOff>
    </xdr:from>
    <xdr:to>
      <xdr:col>10</xdr:col>
      <xdr:colOff>190500</xdr:colOff>
      <xdr:row>4</xdr:row>
      <xdr:rowOff>129540</xdr:rowOff>
    </xdr:to>
    <xdr:sp macro="" textlink="">
      <xdr:nvSpPr>
        <xdr:cNvPr id="3" name="TextBox 2">
          <a:extLst>
            <a:ext uri="{FF2B5EF4-FFF2-40B4-BE49-F238E27FC236}">
              <a16:creationId xmlns:a16="http://schemas.microsoft.com/office/drawing/2014/main" id="{1C201C26-F29C-264F-E570-79EFC4723DE6}"/>
            </a:ext>
          </a:extLst>
        </xdr:cNvPr>
        <xdr:cNvSpPr txBox="1"/>
      </xdr:nvSpPr>
      <xdr:spPr>
        <a:xfrm>
          <a:off x="1981200" y="228600"/>
          <a:ext cx="4305300" cy="632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a:latin typeface="Agency FB" panose="020B0503020202020204" pitchFamily="34" charset="0"/>
            </a:rPr>
            <a:t>SALES</a:t>
          </a:r>
          <a:r>
            <a:rPr lang="en-IN" sz="3600" baseline="0">
              <a:latin typeface="Agency FB" panose="020B0503020202020204" pitchFamily="34" charset="0"/>
            </a:rPr>
            <a:t> DASH BOARD</a:t>
          </a:r>
          <a:endParaRPr lang="en-IN" sz="3600">
            <a:latin typeface="Agency FB" panose="020B0503020202020204" pitchFamily="34" charset="0"/>
          </a:endParaRPr>
        </a:p>
      </xdr:txBody>
    </xdr:sp>
    <xdr:clientData/>
  </xdr:twoCellAnchor>
  <xdr:twoCellAnchor>
    <xdr:from>
      <xdr:col>0</xdr:col>
      <xdr:colOff>21263</xdr:colOff>
      <xdr:row>6</xdr:row>
      <xdr:rowOff>53339</xdr:rowOff>
    </xdr:from>
    <xdr:to>
      <xdr:col>3</xdr:col>
      <xdr:colOff>419100</xdr:colOff>
      <xdr:row>10</xdr:row>
      <xdr:rowOff>161268</xdr:rowOff>
    </xdr:to>
    <xdr:grpSp>
      <xdr:nvGrpSpPr>
        <xdr:cNvPr id="17" name="Group 16">
          <a:extLst>
            <a:ext uri="{FF2B5EF4-FFF2-40B4-BE49-F238E27FC236}">
              <a16:creationId xmlns:a16="http://schemas.microsoft.com/office/drawing/2014/main" id="{9A8484C9-0517-86C0-8050-34C14FB11EE8}"/>
            </a:ext>
          </a:extLst>
        </xdr:cNvPr>
        <xdr:cNvGrpSpPr/>
      </xdr:nvGrpSpPr>
      <xdr:grpSpPr>
        <a:xfrm>
          <a:off x="21263" y="1150619"/>
          <a:ext cx="2226637" cy="839449"/>
          <a:chOff x="236220" y="1271179"/>
          <a:chExt cx="2410209" cy="914400"/>
        </a:xfrm>
      </xdr:grpSpPr>
      <xdr:grpSp>
        <xdr:nvGrpSpPr>
          <xdr:cNvPr id="16" name="Group 15">
            <a:extLst>
              <a:ext uri="{FF2B5EF4-FFF2-40B4-BE49-F238E27FC236}">
                <a16:creationId xmlns:a16="http://schemas.microsoft.com/office/drawing/2014/main" id="{2352E096-F8D6-879D-4D6F-D1FB4437ED00}"/>
              </a:ext>
            </a:extLst>
          </xdr:cNvPr>
          <xdr:cNvGrpSpPr/>
        </xdr:nvGrpSpPr>
        <xdr:grpSpPr>
          <a:xfrm>
            <a:off x="236220" y="1271179"/>
            <a:ext cx="2410209" cy="914400"/>
            <a:chOff x="243840" y="1263559"/>
            <a:chExt cx="2410209" cy="914400"/>
          </a:xfrm>
        </xdr:grpSpPr>
        <xdr:sp macro="" textlink="">
          <xdr:nvSpPr>
            <xdr:cNvPr id="8" name="Rectangle 7">
              <a:extLst>
                <a:ext uri="{FF2B5EF4-FFF2-40B4-BE49-F238E27FC236}">
                  <a16:creationId xmlns:a16="http://schemas.microsoft.com/office/drawing/2014/main" id="{BA9BE48B-F55D-F0D2-13F6-17E8632F7661}"/>
                </a:ext>
              </a:extLst>
            </xdr:cNvPr>
            <xdr:cNvSpPr/>
          </xdr:nvSpPr>
          <xdr:spPr>
            <a:xfrm>
              <a:off x="253749" y="1263559"/>
              <a:ext cx="2400300" cy="9144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5" name="Group 14">
              <a:extLst>
                <a:ext uri="{FF2B5EF4-FFF2-40B4-BE49-F238E27FC236}">
                  <a16:creationId xmlns:a16="http://schemas.microsoft.com/office/drawing/2014/main" id="{D7B0028E-F3B3-13DE-0E0E-793D3B1B277E}"/>
                </a:ext>
              </a:extLst>
            </xdr:cNvPr>
            <xdr:cNvGrpSpPr/>
          </xdr:nvGrpSpPr>
          <xdr:grpSpPr>
            <a:xfrm>
              <a:off x="243840" y="1287780"/>
              <a:ext cx="2072640" cy="888820"/>
              <a:chOff x="213360" y="1249680"/>
              <a:chExt cx="2072640" cy="888820"/>
            </a:xfrm>
          </xdr:grpSpPr>
          <xdr:sp macro="" textlink="">
            <xdr:nvSpPr>
              <xdr:cNvPr id="9" name="Rectangle: Rounded Corners 8">
                <a:extLst>
                  <a:ext uri="{FF2B5EF4-FFF2-40B4-BE49-F238E27FC236}">
                    <a16:creationId xmlns:a16="http://schemas.microsoft.com/office/drawing/2014/main" id="{A0836CCB-8C83-3ED1-F76B-12F32BD3F2C6}"/>
                  </a:ext>
                </a:extLst>
              </xdr:cNvPr>
              <xdr:cNvSpPr/>
            </xdr:nvSpPr>
            <xdr:spPr>
              <a:xfrm>
                <a:off x="213360" y="1249680"/>
                <a:ext cx="739140" cy="888820"/>
              </a:xfrm>
              <a:prstGeom prst="roundRect">
                <a:avLst>
                  <a:gd name="adj" fmla="val 2697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TextBox 9">
                <a:extLst>
                  <a:ext uri="{FF2B5EF4-FFF2-40B4-BE49-F238E27FC236}">
                    <a16:creationId xmlns:a16="http://schemas.microsoft.com/office/drawing/2014/main" id="{167A74F7-E84B-6ECB-4FBF-E463AFF56410}"/>
                  </a:ext>
                </a:extLst>
              </xdr:cNvPr>
              <xdr:cNvSpPr txBox="1"/>
            </xdr:nvSpPr>
            <xdr:spPr>
              <a:xfrm>
                <a:off x="1089660" y="1325880"/>
                <a:ext cx="1187484" cy="350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GRAND TOTAL</a:t>
                </a:r>
              </a:p>
            </xdr:txBody>
          </xdr:sp>
          <xdr:sp macro="" textlink="SalesData!J5">
            <xdr:nvSpPr>
              <xdr:cNvPr id="12" name="TextBox 11">
                <a:extLst>
                  <a:ext uri="{FF2B5EF4-FFF2-40B4-BE49-F238E27FC236}">
                    <a16:creationId xmlns:a16="http://schemas.microsoft.com/office/drawing/2014/main" id="{BF0DA6A3-4919-34A6-43D0-650459A5BA6D}"/>
                  </a:ext>
                </a:extLst>
              </xdr:cNvPr>
              <xdr:cNvSpPr txBox="1"/>
            </xdr:nvSpPr>
            <xdr:spPr>
              <a:xfrm>
                <a:off x="1097280" y="1767840"/>
                <a:ext cx="118872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F66489-A38B-4DBD-AFA9-FDEFBD8BBC2A}" type="TxLink">
                  <a:rPr lang="en-US" sz="1100" b="1" i="0" u="none" strike="noStrike">
                    <a:solidFill>
                      <a:srgbClr val="000000"/>
                    </a:solidFill>
                    <a:latin typeface="Aptos Narrow"/>
                  </a:rPr>
                  <a:pPr/>
                  <a:t> Rs. 1,29,44,500 </a:t>
                </a:fld>
                <a:endParaRPr lang="en-IN" sz="1100"/>
              </a:p>
            </xdr:txBody>
          </xdr:sp>
        </xdr:grpSp>
      </xdr:grpSp>
      <xdr:pic>
        <xdr:nvPicPr>
          <xdr:cNvPr id="14" name="Graphic 13" descr="Rocket with solid fill">
            <a:extLst>
              <a:ext uri="{FF2B5EF4-FFF2-40B4-BE49-F238E27FC236}">
                <a16:creationId xmlns:a16="http://schemas.microsoft.com/office/drawing/2014/main" id="{22A67BDB-D0F3-FD5D-BDAD-BE12057F2DF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4320" y="1356360"/>
            <a:ext cx="617220" cy="723900"/>
          </a:xfrm>
          <a:prstGeom prst="rect">
            <a:avLst/>
          </a:prstGeom>
        </xdr:spPr>
      </xdr:pic>
    </xdr:grpSp>
    <xdr:clientData/>
  </xdr:twoCellAnchor>
  <xdr:twoCellAnchor>
    <xdr:from>
      <xdr:col>3</xdr:col>
      <xdr:colOff>457200</xdr:colOff>
      <xdr:row>6</xdr:row>
      <xdr:rowOff>53340</xdr:rowOff>
    </xdr:from>
    <xdr:to>
      <xdr:col>7</xdr:col>
      <xdr:colOff>312420</xdr:colOff>
      <xdr:row>10</xdr:row>
      <xdr:rowOff>161269</xdr:rowOff>
    </xdr:to>
    <xdr:grpSp>
      <xdr:nvGrpSpPr>
        <xdr:cNvPr id="19" name="Group 18">
          <a:extLst>
            <a:ext uri="{FF2B5EF4-FFF2-40B4-BE49-F238E27FC236}">
              <a16:creationId xmlns:a16="http://schemas.microsoft.com/office/drawing/2014/main" id="{84524E68-142D-F6ED-FB5E-2782C90DC222}"/>
            </a:ext>
          </a:extLst>
        </xdr:cNvPr>
        <xdr:cNvGrpSpPr/>
      </xdr:nvGrpSpPr>
      <xdr:grpSpPr>
        <a:xfrm>
          <a:off x="2286000" y="1150620"/>
          <a:ext cx="2293620" cy="839449"/>
          <a:chOff x="220980" y="1280160"/>
          <a:chExt cx="2400300" cy="914400"/>
        </a:xfrm>
      </xdr:grpSpPr>
      <xdr:sp macro="" textlink="">
        <xdr:nvSpPr>
          <xdr:cNvPr id="21" name="Rectangle 20">
            <a:extLst>
              <a:ext uri="{FF2B5EF4-FFF2-40B4-BE49-F238E27FC236}">
                <a16:creationId xmlns:a16="http://schemas.microsoft.com/office/drawing/2014/main" id="{FF34A029-B7CF-9983-009F-13378DDE3133}"/>
              </a:ext>
            </a:extLst>
          </xdr:cNvPr>
          <xdr:cNvSpPr/>
        </xdr:nvSpPr>
        <xdr:spPr>
          <a:xfrm>
            <a:off x="220980" y="1280160"/>
            <a:ext cx="2400300" cy="9144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22" name="Group 21">
            <a:extLst>
              <a:ext uri="{FF2B5EF4-FFF2-40B4-BE49-F238E27FC236}">
                <a16:creationId xmlns:a16="http://schemas.microsoft.com/office/drawing/2014/main" id="{A5828C4E-66CE-EA25-BE6E-0618DD00E852}"/>
              </a:ext>
            </a:extLst>
          </xdr:cNvPr>
          <xdr:cNvGrpSpPr/>
        </xdr:nvGrpSpPr>
        <xdr:grpSpPr>
          <a:xfrm>
            <a:off x="243840" y="1287780"/>
            <a:ext cx="1943100" cy="897119"/>
            <a:chOff x="213360" y="1249680"/>
            <a:chExt cx="1943100" cy="897119"/>
          </a:xfrm>
        </xdr:grpSpPr>
        <xdr:sp macro="" textlink="">
          <xdr:nvSpPr>
            <xdr:cNvPr id="23" name="Rectangle: Rounded Corners 22">
              <a:extLst>
                <a:ext uri="{FF2B5EF4-FFF2-40B4-BE49-F238E27FC236}">
                  <a16:creationId xmlns:a16="http://schemas.microsoft.com/office/drawing/2014/main" id="{23A96260-1883-B6CD-2721-C473D63582BA}"/>
                </a:ext>
              </a:extLst>
            </xdr:cNvPr>
            <xdr:cNvSpPr/>
          </xdr:nvSpPr>
          <xdr:spPr>
            <a:xfrm>
              <a:off x="213360" y="1249680"/>
              <a:ext cx="739140" cy="897119"/>
            </a:xfrm>
            <a:prstGeom prst="roundRect">
              <a:avLst>
                <a:gd name="adj" fmla="val 2697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4" name="TextBox 23">
              <a:extLst>
                <a:ext uri="{FF2B5EF4-FFF2-40B4-BE49-F238E27FC236}">
                  <a16:creationId xmlns:a16="http://schemas.microsoft.com/office/drawing/2014/main" id="{C355DE22-40AC-15A3-7396-6600463CAC9E}"/>
                </a:ext>
              </a:extLst>
            </xdr:cNvPr>
            <xdr:cNvSpPr txBox="1"/>
          </xdr:nvSpPr>
          <xdr:spPr>
            <a:xfrm>
              <a:off x="1089660" y="1325880"/>
              <a:ext cx="1066800" cy="350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AVG</a:t>
              </a:r>
              <a:r>
                <a:rPr lang="en-IN" sz="1100" baseline="0"/>
                <a:t> OF SALES</a:t>
              </a:r>
              <a:endParaRPr lang="en-IN" sz="1100"/>
            </a:p>
          </xdr:txBody>
        </xdr:sp>
        <xdr:sp macro="" textlink="SalesData!J8">
          <xdr:nvSpPr>
            <xdr:cNvPr id="25" name="TextBox 24">
              <a:extLst>
                <a:ext uri="{FF2B5EF4-FFF2-40B4-BE49-F238E27FC236}">
                  <a16:creationId xmlns:a16="http://schemas.microsoft.com/office/drawing/2014/main" id="{CAF5F7FA-7454-B55F-D4D9-1EE5985E6758}"/>
                </a:ext>
              </a:extLst>
            </xdr:cNvPr>
            <xdr:cNvSpPr txBox="1"/>
          </xdr:nvSpPr>
          <xdr:spPr>
            <a:xfrm>
              <a:off x="1097280" y="1767839"/>
              <a:ext cx="1046952"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8F41B79-2ABC-47EE-8145-5D91C4B67C27}" type="TxLink">
                <a:rPr lang="en-US" sz="1100" b="1" i="0" u="none" strike="noStrike">
                  <a:solidFill>
                    <a:srgbClr val="000000"/>
                  </a:solidFill>
                  <a:latin typeface="Aptos Narrow"/>
                </a:rPr>
                <a:pPr algn="ctr"/>
                <a:t>258890</a:t>
              </a:fld>
              <a:endParaRPr lang="en-IN" sz="1100"/>
            </a:p>
          </xdr:txBody>
        </xdr:sp>
      </xdr:grpSp>
    </xdr:grpSp>
    <xdr:clientData/>
  </xdr:twoCellAnchor>
  <xdr:twoCellAnchor>
    <xdr:from>
      <xdr:col>7</xdr:col>
      <xdr:colOff>335280</xdr:colOff>
      <xdr:row>6</xdr:row>
      <xdr:rowOff>38100</xdr:rowOff>
    </xdr:from>
    <xdr:to>
      <xdr:col>11</xdr:col>
      <xdr:colOff>182880</xdr:colOff>
      <xdr:row>10</xdr:row>
      <xdr:rowOff>153524</xdr:rowOff>
    </xdr:to>
    <xdr:grpSp>
      <xdr:nvGrpSpPr>
        <xdr:cNvPr id="45" name="Group 44">
          <a:extLst>
            <a:ext uri="{FF2B5EF4-FFF2-40B4-BE49-F238E27FC236}">
              <a16:creationId xmlns:a16="http://schemas.microsoft.com/office/drawing/2014/main" id="{11A966D3-7FD6-3274-906F-564642944846}"/>
            </a:ext>
          </a:extLst>
        </xdr:cNvPr>
        <xdr:cNvGrpSpPr/>
      </xdr:nvGrpSpPr>
      <xdr:grpSpPr>
        <a:xfrm>
          <a:off x="4602480" y="1135380"/>
          <a:ext cx="2286000" cy="846944"/>
          <a:chOff x="220980" y="1280160"/>
          <a:chExt cx="2400300" cy="914400"/>
        </a:xfrm>
      </xdr:grpSpPr>
      <xdr:sp macro="" textlink="">
        <xdr:nvSpPr>
          <xdr:cNvPr id="47" name="Rectangle 46">
            <a:extLst>
              <a:ext uri="{FF2B5EF4-FFF2-40B4-BE49-F238E27FC236}">
                <a16:creationId xmlns:a16="http://schemas.microsoft.com/office/drawing/2014/main" id="{7419F4D5-3654-2FFC-4D4E-932626F1840C}"/>
              </a:ext>
            </a:extLst>
          </xdr:cNvPr>
          <xdr:cNvSpPr/>
        </xdr:nvSpPr>
        <xdr:spPr>
          <a:xfrm>
            <a:off x="220980" y="1280160"/>
            <a:ext cx="2400300" cy="9144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48" name="Group 47">
            <a:extLst>
              <a:ext uri="{FF2B5EF4-FFF2-40B4-BE49-F238E27FC236}">
                <a16:creationId xmlns:a16="http://schemas.microsoft.com/office/drawing/2014/main" id="{0918375D-5168-2FEA-919D-8212C12AEC4C}"/>
              </a:ext>
            </a:extLst>
          </xdr:cNvPr>
          <xdr:cNvGrpSpPr/>
        </xdr:nvGrpSpPr>
        <xdr:grpSpPr>
          <a:xfrm>
            <a:off x="243840" y="1287780"/>
            <a:ext cx="1943100" cy="897339"/>
            <a:chOff x="213360" y="1249680"/>
            <a:chExt cx="1943100" cy="897339"/>
          </a:xfrm>
        </xdr:grpSpPr>
        <xdr:sp macro="" textlink="">
          <xdr:nvSpPr>
            <xdr:cNvPr id="49" name="Rectangle: Rounded Corners 48">
              <a:extLst>
                <a:ext uri="{FF2B5EF4-FFF2-40B4-BE49-F238E27FC236}">
                  <a16:creationId xmlns:a16="http://schemas.microsoft.com/office/drawing/2014/main" id="{E28E07B5-C619-FD90-7D3F-8F62F2883C2C}"/>
                </a:ext>
              </a:extLst>
            </xdr:cNvPr>
            <xdr:cNvSpPr/>
          </xdr:nvSpPr>
          <xdr:spPr>
            <a:xfrm>
              <a:off x="213360" y="1249680"/>
              <a:ext cx="739140" cy="897339"/>
            </a:xfrm>
            <a:prstGeom prst="roundRect">
              <a:avLst>
                <a:gd name="adj" fmla="val 2697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0" name="TextBox 49">
              <a:extLst>
                <a:ext uri="{FF2B5EF4-FFF2-40B4-BE49-F238E27FC236}">
                  <a16:creationId xmlns:a16="http://schemas.microsoft.com/office/drawing/2014/main" id="{767F289A-8634-6B61-4EBD-5A5A054F640F}"/>
                </a:ext>
              </a:extLst>
            </xdr:cNvPr>
            <xdr:cNvSpPr txBox="1"/>
          </xdr:nvSpPr>
          <xdr:spPr>
            <a:xfrm>
              <a:off x="1089660" y="1325880"/>
              <a:ext cx="1066800" cy="350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UNIT</a:t>
              </a:r>
              <a:r>
                <a:rPr lang="en-IN" sz="1100" baseline="0"/>
                <a:t> SOLD</a:t>
              </a:r>
              <a:endParaRPr lang="en-IN" sz="1100"/>
            </a:p>
          </xdr:txBody>
        </xdr:sp>
        <xdr:sp macro="" textlink="SalesData!J11">
          <xdr:nvSpPr>
            <xdr:cNvPr id="51" name="TextBox 50">
              <a:extLst>
                <a:ext uri="{FF2B5EF4-FFF2-40B4-BE49-F238E27FC236}">
                  <a16:creationId xmlns:a16="http://schemas.microsoft.com/office/drawing/2014/main" id="{53060873-23D0-21C0-5FA5-61A4A0E642FD}"/>
                </a:ext>
              </a:extLst>
            </xdr:cNvPr>
            <xdr:cNvSpPr txBox="1"/>
          </xdr:nvSpPr>
          <xdr:spPr>
            <a:xfrm>
              <a:off x="1097280" y="1767840"/>
              <a:ext cx="1053465"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520E891-3AD4-4667-AB7D-3D2BE92164CD}" type="TxLink">
                <a:rPr lang="en-US" sz="1100" b="1" i="0" u="none" strike="noStrike">
                  <a:solidFill>
                    <a:srgbClr val="000000"/>
                  </a:solidFill>
                  <a:latin typeface="Aptos Narrow"/>
                </a:rPr>
                <a:pPr algn="ctr"/>
                <a:t>4705</a:t>
              </a:fld>
              <a:endParaRPr lang="en-IN" sz="1100"/>
            </a:p>
          </xdr:txBody>
        </xdr:sp>
      </xdr:grpSp>
    </xdr:grpSp>
    <xdr:clientData/>
  </xdr:twoCellAnchor>
  <xdr:twoCellAnchor>
    <xdr:from>
      <xdr:col>11</xdr:col>
      <xdr:colOff>197540</xdr:colOff>
      <xdr:row>6</xdr:row>
      <xdr:rowOff>22359</xdr:rowOff>
    </xdr:from>
    <xdr:to>
      <xdr:col>15</xdr:col>
      <xdr:colOff>106680</xdr:colOff>
      <xdr:row>10</xdr:row>
      <xdr:rowOff>144780</xdr:rowOff>
    </xdr:to>
    <xdr:grpSp>
      <xdr:nvGrpSpPr>
        <xdr:cNvPr id="53" name="Group 52">
          <a:extLst>
            <a:ext uri="{FF2B5EF4-FFF2-40B4-BE49-F238E27FC236}">
              <a16:creationId xmlns:a16="http://schemas.microsoft.com/office/drawing/2014/main" id="{6BA6325B-9B51-192C-108F-4DC9A05DE38F}"/>
            </a:ext>
          </a:extLst>
        </xdr:cNvPr>
        <xdr:cNvGrpSpPr/>
      </xdr:nvGrpSpPr>
      <xdr:grpSpPr>
        <a:xfrm>
          <a:off x="6903140" y="1119639"/>
          <a:ext cx="2347540" cy="853941"/>
          <a:chOff x="212566" y="1271470"/>
          <a:chExt cx="2408714" cy="923090"/>
        </a:xfrm>
      </xdr:grpSpPr>
      <xdr:sp macro="" textlink="">
        <xdr:nvSpPr>
          <xdr:cNvPr id="55" name="Rectangle 54">
            <a:extLst>
              <a:ext uri="{FF2B5EF4-FFF2-40B4-BE49-F238E27FC236}">
                <a16:creationId xmlns:a16="http://schemas.microsoft.com/office/drawing/2014/main" id="{2C4E3130-8DC3-338A-84AA-186C14E99AD7}"/>
              </a:ext>
            </a:extLst>
          </xdr:cNvPr>
          <xdr:cNvSpPr/>
        </xdr:nvSpPr>
        <xdr:spPr>
          <a:xfrm>
            <a:off x="220980" y="1280160"/>
            <a:ext cx="2400300" cy="9144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56" name="Group 55">
            <a:extLst>
              <a:ext uri="{FF2B5EF4-FFF2-40B4-BE49-F238E27FC236}">
                <a16:creationId xmlns:a16="http://schemas.microsoft.com/office/drawing/2014/main" id="{7A0C2149-F336-F950-3ECB-444D640ABA37}"/>
              </a:ext>
            </a:extLst>
          </xdr:cNvPr>
          <xdr:cNvGrpSpPr/>
        </xdr:nvGrpSpPr>
        <xdr:grpSpPr>
          <a:xfrm>
            <a:off x="212566" y="1271470"/>
            <a:ext cx="1974374" cy="922020"/>
            <a:chOff x="182086" y="1233370"/>
            <a:chExt cx="1974374" cy="922020"/>
          </a:xfrm>
        </xdr:grpSpPr>
        <xdr:sp macro="" textlink="">
          <xdr:nvSpPr>
            <xdr:cNvPr id="57" name="Rectangle: Rounded Corners 56">
              <a:extLst>
                <a:ext uri="{FF2B5EF4-FFF2-40B4-BE49-F238E27FC236}">
                  <a16:creationId xmlns:a16="http://schemas.microsoft.com/office/drawing/2014/main" id="{70E5470F-1098-E753-E4D2-3258CF37FA33}"/>
                </a:ext>
              </a:extLst>
            </xdr:cNvPr>
            <xdr:cNvSpPr/>
          </xdr:nvSpPr>
          <xdr:spPr>
            <a:xfrm>
              <a:off x="182086" y="1233370"/>
              <a:ext cx="739140" cy="922020"/>
            </a:xfrm>
            <a:prstGeom prst="roundRect">
              <a:avLst>
                <a:gd name="adj" fmla="val 2697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8" name="TextBox 57">
              <a:extLst>
                <a:ext uri="{FF2B5EF4-FFF2-40B4-BE49-F238E27FC236}">
                  <a16:creationId xmlns:a16="http://schemas.microsoft.com/office/drawing/2014/main" id="{6EAB7FCD-EDFE-522F-5F8A-34BBE6129816}"/>
                </a:ext>
              </a:extLst>
            </xdr:cNvPr>
            <xdr:cNvSpPr txBox="1"/>
          </xdr:nvSpPr>
          <xdr:spPr>
            <a:xfrm>
              <a:off x="1089660" y="1325880"/>
              <a:ext cx="1066800" cy="350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TOTAL</a:t>
              </a:r>
              <a:r>
                <a:rPr lang="en-IN" sz="1100" baseline="0"/>
                <a:t> PROFIT</a:t>
              </a:r>
              <a:endParaRPr lang="en-IN" sz="1100"/>
            </a:p>
          </xdr:txBody>
        </xdr:sp>
        <xdr:sp macro="" textlink="SalesData!J14">
          <xdr:nvSpPr>
            <xdr:cNvPr id="59" name="TextBox 58">
              <a:extLst>
                <a:ext uri="{FF2B5EF4-FFF2-40B4-BE49-F238E27FC236}">
                  <a16:creationId xmlns:a16="http://schemas.microsoft.com/office/drawing/2014/main" id="{5C34153A-D8A6-53EE-3223-A45CA809BF79}"/>
                </a:ext>
              </a:extLst>
            </xdr:cNvPr>
            <xdr:cNvSpPr txBox="1"/>
          </xdr:nvSpPr>
          <xdr:spPr>
            <a:xfrm>
              <a:off x="1097280" y="1767840"/>
              <a:ext cx="1047861"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F7C2FC0-13AE-46DA-98BA-9619AFCE067D}" type="TxLink">
                <a:rPr lang="en-US" sz="1100" b="1" i="0" u="none" strike="noStrike">
                  <a:solidFill>
                    <a:srgbClr val="000000"/>
                  </a:solidFill>
                  <a:latin typeface="Aptos Narrow"/>
                </a:rPr>
                <a:pPr/>
                <a:t> Rs. 38,34,400 </a:t>
              </a:fld>
              <a:endParaRPr lang="en-IN" sz="1100"/>
            </a:p>
          </xdr:txBody>
        </xdr:sp>
      </xdr:grpSp>
    </xdr:grpSp>
    <xdr:clientData/>
  </xdr:twoCellAnchor>
  <xdr:twoCellAnchor editAs="oneCell">
    <xdr:from>
      <xdr:col>3</xdr:col>
      <xdr:colOff>403860</xdr:colOff>
      <xdr:row>6</xdr:row>
      <xdr:rowOff>175260</xdr:rowOff>
    </xdr:from>
    <xdr:to>
      <xdr:col>5</xdr:col>
      <xdr:colOff>99060</xdr:colOff>
      <xdr:row>10</xdr:row>
      <xdr:rowOff>30480</xdr:rowOff>
    </xdr:to>
    <xdr:pic>
      <xdr:nvPicPr>
        <xdr:cNvPr id="61" name="Graphic 60" descr="Database with solid fill">
          <a:extLst>
            <a:ext uri="{FF2B5EF4-FFF2-40B4-BE49-F238E27FC236}">
              <a16:creationId xmlns:a16="http://schemas.microsoft.com/office/drawing/2014/main" id="{A10FB9E2-FA77-5E2F-9AA3-9C43E93FE5B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232660" y="1272540"/>
          <a:ext cx="914400" cy="586740"/>
        </a:xfrm>
        <a:prstGeom prst="rect">
          <a:avLst/>
        </a:prstGeom>
      </xdr:spPr>
    </xdr:pic>
    <xdr:clientData/>
  </xdr:twoCellAnchor>
  <xdr:twoCellAnchor editAs="oneCell">
    <xdr:from>
      <xdr:col>7</xdr:col>
      <xdr:colOff>396240</xdr:colOff>
      <xdr:row>6</xdr:row>
      <xdr:rowOff>83820</xdr:rowOff>
    </xdr:from>
    <xdr:to>
      <xdr:col>8</xdr:col>
      <xdr:colOff>457200</xdr:colOff>
      <xdr:row>10</xdr:row>
      <xdr:rowOff>45720</xdr:rowOff>
    </xdr:to>
    <xdr:pic>
      <xdr:nvPicPr>
        <xdr:cNvPr id="63" name="Graphic 62" descr="Coins with solid fill">
          <a:extLst>
            <a:ext uri="{FF2B5EF4-FFF2-40B4-BE49-F238E27FC236}">
              <a16:creationId xmlns:a16="http://schemas.microsoft.com/office/drawing/2014/main" id="{EF7433CA-EC37-FDF7-818E-6326DC3FB16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663440" y="1181100"/>
          <a:ext cx="670560" cy="693420"/>
        </a:xfrm>
        <a:prstGeom prst="rect">
          <a:avLst/>
        </a:prstGeom>
      </xdr:spPr>
    </xdr:pic>
    <xdr:clientData/>
  </xdr:twoCellAnchor>
  <xdr:twoCellAnchor editAs="oneCell">
    <xdr:from>
      <xdr:col>11</xdr:col>
      <xdr:colOff>198120</xdr:colOff>
      <xdr:row>6</xdr:row>
      <xdr:rowOff>137160</xdr:rowOff>
    </xdr:from>
    <xdr:to>
      <xdr:col>12</xdr:col>
      <xdr:colOff>297180</xdr:colOff>
      <xdr:row>10</xdr:row>
      <xdr:rowOff>15240</xdr:rowOff>
    </xdr:to>
    <xdr:pic>
      <xdr:nvPicPr>
        <xdr:cNvPr id="2050" name="Graphic 2049" descr="Bar graph with upward trend with solid fill">
          <a:extLst>
            <a:ext uri="{FF2B5EF4-FFF2-40B4-BE49-F238E27FC236}">
              <a16:creationId xmlns:a16="http://schemas.microsoft.com/office/drawing/2014/main" id="{FBE1BA84-ABCE-192E-4863-720715F92D5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903720" y="1234440"/>
          <a:ext cx="708660" cy="609600"/>
        </a:xfrm>
        <a:prstGeom prst="rect">
          <a:avLst/>
        </a:prstGeom>
      </xdr:spPr>
    </xdr:pic>
    <xdr:clientData/>
  </xdr:twoCellAnchor>
  <xdr:twoCellAnchor>
    <xdr:from>
      <xdr:col>0</xdr:col>
      <xdr:colOff>0</xdr:colOff>
      <xdr:row>11</xdr:row>
      <xdr:rowOff>0</xdr:rowOff>
    </xdr:from>
    <xdr:to>
      <xdr:col>6</xdr:col>
      <xdr:colOff>220980</xdr:colOff>
      <xdr:row>23</xdr:row>
      <xdr:rowOff>99060</xdr:rowOff>
    </xdr:to>
    <xdr:graphicFrame macro="">
      <xdr:nvGraphicFramePr>
        <xdr:cNvPr id="2055" name="Chart 2054">
          <a:extLst>
            <a:ext uri="{FF2B5EF4-FFF2-40B4-BE49-F238E27FC236}">
              <a16:creationId xmlns:a16="http://schemas.microsoft.com/office/drawing/2014/main" id="{71F927A4-9258-4D6B-9207-982AEB8855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236220</xdr:colOff>
      <xdr:row>11</xdr:row>
      <xdr:rowOff>0</xdr:rowOff>
    </xdr:from>
    <xdr:to>
      <xdr:col>12</xdr:col>
      <xdr:colOff>449580</xdr:colOff>
      <xdr:row>23</xdr:row>
      <xdr:rowOff>121920</xdr:rowOff>
    </xdr:to>
    <xdr:graphicFrame macro="">
      <xdr:nvGraphicFramePr>
        <xdr:cNvPr id="2056" name="Chart 2055">
          <a:extLst>
            <a:ext uri="{FF2B5EF4-FFF2-40B4-BE49-F238E27FC236}">
              <a16:creationId xmlns:a16="http://schemas.microsoft.com/office/drawing/2014/main" id="{E974A058-7DF4-45BB-9E31-93F6F2E58E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23</xdr:row>
      <xdr:rowOff>99060</xdr:rowOff>
    </xdr:from>
    <xdr:to>
      <xdr:col>6</xdr:col>
      <xdr:colOff>228600</xdr:colOff>
      <xdr:row>37</xdr:row>
      <xdr:rowOff>22860</xdr:rowOff>
    </xdr:to>
    <xdr:graphicFrame macro="">
      <xdr:nvGraphicFramePr>
        <xdr:cNvPr id="2057" name="Chart 2056">
          <a:extLst>
            <a:ext uri="{FF2B5EF4-FFF2-40B4-BE49-F238E27FC236}">
              <a16:creationId xmlns:a16="http://schemas.microsoft.com/office/drawing/2014/main" id="{A6611DAF-DD4B-4A4C-AA91-9C8DA64C27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228600</xdr:colOff>
      <xdr:row>23</xdr:row>
      <xdr:rowOff>114300</xdr:rowOff>
    </xdr:from>
    <xdr:to>
      <xdr:col>12</xdr:col>
      <xdr:colOff>464820</xdr:colOff>
      <xdr:row>37</xdr:row>
      <xdr:rowOff>7620</xdr:rowOff>
    </xdr:to>
    <xdr:graphicFrame macro="">
      <xdr:nvGraphicFramePr>
        <xdr:cNvPr id="2058" name="Chart 2057">
          <a:extLst>
            <a:ext uri="{FF2B5EF4-FFF2-40B4-BE49-F238E27FC236}">
              <a16:creationId xmlns:a16="http://schemas.microsoft.com/office/drawing/2014/main" id="{187A3077-E990-4C0F-B574-28B83DE2BD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xdr:col>
      <xdr:colOff>487680</xdr:colOff>
      <xdr:row>0</xdr:row>
      <xdr:rowOff>167640</xdr:rowOff>
    </xdr:from>
    <xdr:to>
      <xdr:col>4</xdr:col>
      <xdr:colOff>182880</xdr:colOff>
      <xdr:row>5</xdr:row>
      <xdr:rowOff>0</xdr:rowOff>
    </xdr:to>
    <xdr:pic>
      <xdr:nvPicPr>
        <xdr:cNvPr id="2060" name="Graphic 2059" descr="Dollar with solid fill">
          <a:extLst>
            <a:ext uri="{FF2B5EF4-FFF2-40B4-BE49-F238E27FC236}">
              <a16:creationId xmlns:a16="http://schemas.microsoft.com/office/drawing/2014/main" id="{69D862CD-93E9-A2B5-A147-EDA403C7A55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706880" y="167640"/>
          <a:ext cx="914400" cy="746760"/>
        </a:xfrm>
        <a:prstGeom prst="rect">
          <a:avLst/>
        </a:prstGeom>
      </xdr:spPr>
    </xdr:pic>
    <xdr:clientData/>
  </xdr:twoCellAnchor>
  <xdr:twoCellAnchor editAs="oneCell">
    <xdr:from>
      <xdr:col>12</xdr:col>
      <xdr:colOff>441960</xdr:colOff>
      <xdr:row>28</xdr:row>
      <xdr:rowOff>152401</xdr:rowOff>
    </xdr:from>
    <xdr:to>
      <xdr:col>15</xdr:col>
      <xdr:colOff>167640</xdr:colOff>
      <xdr:row>36</xdr:row>
      <xdr:rowOff>175261</xdr:rowOff>
    </xdr:to>
    <mc:AlternateContent xmlns:mc="http://schemas.openxmlformats.org/markup-compatibility/2006">
      <mc:Choice xmlns:a14="http://schemas.microsoft.com/office/drawing/2010/main" Requires="a14">
        <xdr:graphicFrame macro="">
          <xdr:nvGraphicFramePr>
            <xdr:cNvPr id="2061" name="Product 1">
              <a:extLst>
                <a:ext uri="{FF2B5EF4-FFF2-40B4-BE49-F238E27FC236}">
                  <a16:creationId xmlns:a16="http://schemas.microsoft.com/office/drawing/2014/main" id="{4FAFD9A9-B609-4462-BF81-EADE384C0F8F}"/>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7757160" y="5273041"/>
              <a:ext cx="155448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12</xdr:col>
      <xdr:colOff>449580</xdr:colOff>
      <xdr:row>20</xdr:row>
      <xdr:rowOff>83821</xdr:rowOff>
    </xdr:from>
    <xdr:to>
      <xdr:col>15</xdr:col>
      <xdr:colOff>160020</xdr:colOff>
      <xdr:row>28</xdr:row>
      <xdr:rowOff>129541</xdr:rowOff>
    </xdr:to>
    <mc:AlternateContent xmlns:mc="http://schemas.openxmlformats.org/markup-compatibility/2006">
      <mc:Choice xmlns:a14="http://schemas.microsoft.com/office/drawing/2010/main" Requires="a14">
        <xdr:graphicFrame macro="">
          <xdr:nvGraphicFramePr>
            <xdr:cNvPr id="2062" name="Region 1">
              <a:extLst>
                <a:ext uri="{FF2B5EF4-FFF2-40B4-BE49-F238E27FC236}">
                  <a16:creationId xmlns:a16="http://schemas.microsoft.com/office/drawing/2014/main" id="{1C77D130-F28A-42A7-875B-FE317895E38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7764780" y="3741421"/>
              <a:ext cx="1539240" cy="1508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12</xdr:col>
      <xdr:colOff>449580</xdr:colOff>
      <xdr:row>10</xdr:row>
      <xdr:rowOff>175261</xdr:rowOff>
    </xdr:from>
    <xdr:to>
      <xdr:col>15</xdr:col>
      <xdr:colOff>152400</xdr:colOff>
      <xdr:row>20</xdr:row>
      <xdr:rowOff>68580</xdr:rowOff>
    </xdr:to>
    <mc:AlternateContent xmlns:mc="http://schemas.openxmlformats.org/markup-compatibility/2006">
      <mc:Choice xmlns:a14="http://schemas.microsoft.com/office/drawing/2010/main" Requires="a14">
        <xdr:graphicFrame macro="">
          <xdr:nvGraphicFramePr>
            <xdr:cNvPr id="2063" name="Sales Person 1">
              <a:extLst>
                <a:ext uri="{FF2B5EF4-FFF2-40B4-BE49-F238E27FC236}">
                  <a16:creationId xmlns:a16="http://schemas.microsoft.com/office/drawing/2014/main" id="{D2E192BF-2A2F-4CAA-A40B-17B67D9382EA}"/>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dr:sp macro="" textlink="">
          <xdr:nvSpPr>
            <xdr:cNvPr id="0" name=""/>
            <xdr:cNvSpPr>
              <a:spLocks noTextEdit="1"/>
            </xdr:cNvSpPr>
          </xdr:nvSpPr>
          <xdr:spPr>
            <a:xfrm>
              <a:off x="7764780" y="2004061"/>
              <a:ext cx="1531620" cy="17221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2.xml><?xml version="1.0" encoding="utf-8"?>
<xdr:wsDr xmlns:xdr="http://schemas.openxmlformats.org/drawingml/2006/spreadsheetDrawing" xmlns:a="http://schemas.openxmlformats.org/drawingml/2006/main">
  <xdr:twoCellAnchor>
    <xdr:from>
      <xdr:col>0</xdr:col>
      <xdr:colOff>556260</xdr:colOff>
      <xdr:row>11</xdr:row>
      <xdr:rowOff>11430</xdr:rowOff>
    </xdr:from>
    <xdr:to>
      <xdr:col>5</xdr:col>
      <xdr:colOff>510540</xdr:colOff>
      <xdr:row>26</xdr:row>
      <xdr:rowOff>11430</xdr:rowOff>
    </xdr:to>
    <xdr:graphicFrame macro="">
      <xdr:nvGraphicFramePr>
        <xdr:cNvPr id="4" name="Chart 3">
          <a:extLst>
            <a:ext uri="{FF2B5EF4-FFF2-40B4-BE49-F238E27FC236}">
              <a16:creationId xmlns:a16="http://schemas.microsoft.com/office/drawing/2014/main" id="{B663B6CD-BF72-AED5-96A6-7ACCAB9838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640080</xdr:colOff>
      <xdr:row>10</xdr:row>
      <xdr:rowOff>179070</xdr:rowOff>
    </xdr:from>
    <xdr:to>
      <xdr:col>11</xdr:col>
      <xdr:colOff>114300</xdr:colOff>
      <xdr:row>25</xdr:row>
      <xdr:rowOff>179070</xdr:rowOff>
    </xdr:to>
    <xdr:graphicFrame macro="">
      <xdr:nvGraphicFramePr>
        <xdr:cNvPr id="5" name="Chart 4">
          <a:extLst>
            <a:ext uri="{FF2B5EF4-FFF2-40B4-BE49-F238E27FC236}">
              <a16:creationId xmlns:a16="http://schemas.microsoft.com/office/drawing/2014/main" id="{C0882FCE-8057-0E2E-EE89-9EF1A2B63C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213360</xdr:colOff>
      <xdr:row>21</xdr:row>
      <xdr:rowOff>148590</xdr:rowOff>
    </xdr:from>
    <xdr:to>
      <xdr:col>11</xdr:col>
      <xdr:colOff>792480</xdr:colOff>
      <xdr:row>35</xdr:row>
      <xdr:rowOff>112014</xdr:rowOff>
    </xdr:to>
    <xdr:graphicFrame macro="">
      <xdr:nvGraphicFramePr>
        <xdr:cNvPr id="7" name="Chart 6">
          <a:extLst>
            <a:ext uri="{FF2B5EF4-FFF2-40B4-BE49-F238E27FC236}">
              <a16:creationId xmlns:a16="http://schemas.microsoft.com/office/drawing/2014/main" id="{FC9DE8D6-FE7F-18DB-AEE0-13632F51BE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381000</xdr:colOff>
      <xdr:row>24</xdr:row>
      <xdr:rowOff>171450</xdr:rowOff>
    </xdr:from>
    <xdr:to>
      <xdr:col>6</xdr:col>
      <xdr:colOff>381000</xdr:colOff>
      <xdr:row>39</xdr:row>
      <xdr:rowOff>171450</xdr:rowOff>
    </xdr:to>
    <xdr:graphicFrame macro="">
      <xdr:nvGraphicFramePr>
        <xdr:cNvPr id="9" name="Chart 8">
          <a:extLst>
            <a:ext uri="{FF2B5EF4-FFF2-40B4-BE49-F238E27FC236}">
              <a16:creationId xmlns:a16="http://schemas.microsoft.com/office/drawing/2014/main" id="{916100F1-7BB6-F0B4-2A02-758E3F5892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762000</xdr:colOff>
      <xdr:row>4</xdr:row>
      <xdr:rowOff>68580</xdr:rowOff>
    </xdr:from>
    <xdr:to>
      <xdr:col>7</xdr:col>
      <xdr:colOff>22860</xdr:colOff>
      <xdr:row>18</xdr:row>
      <xdr:rowOff>89535</xdr:rowOff>
    </xdr:to>
    <mc:AlternateContent xmlns:mc="http://schemas.openxmlformats.org/markup-compatibility/2006" xmlns:a14="http://schemas.microsoft.com/office/drawing/2010/main">
      <mc:Choice Requires="a14">
        <xdr:graphicFrame macro="">
          <xdr:nvGraphicFramePr>
            <xdr:cNvPr id="10" name="Sales Person">
              <a:extLst>
                <a:ext uri="{FF2B5EF4-FFF2-40B4-BE49-F238E27FC236}">
                  <a16:creationId xmlns:a16="http://schemas.microsoft.com/office/drawing/2014/main" id="{8710B28F-FA70-1DE5-4907-753EBFBF1500}"/>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4274820" y="8001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388620</xdr:colOff>
      <xdr:row>7</xdr:row>
      <xdr:rowOff>0</xdr:rowOff>
    </xdr:from>
    <xdr:to>
      <xdr:col>7</xdr:col>
      <xdr:colOff>502920</xdr:colOff>
      <xdr:row>21</xdr:row>
      <xdr:rowOff>20955</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E8A135BF-CA81-A85A-4F2D-4D24C6855F7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754880" y="12801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868680</xdr:colOff>
      <xdr:row>9</xdr:row>
      <xdr:rowOff>114300</xdr:rowOff>
    </xdr:from>
    <xdr:to>
      <xdr:col>8</xdr:col>
      <xdr:colOff>129540</xdr:colOff>
      <xdr:row>23</xdr:row>
      <xdr:rowOff>135255</xdr:rowOff>
    </xdr:to>
    <mc:AlternateContent xmlns:mc="http://schemas.openxmlformats.org/markup-compatibility/2006" xmlns:a14="http://schemas.microsoft.com/office/drawing/2010/main">
      <mc:Choice Requires="a14">
        <xdr:graphicFrame macro="">
          <xdr:nvGraphicFramePr>
            <xdr:cNvPr id="12" name="Product">
              <a:extLst>
                <a:ext uri="{FF2B5EF4-FFF2-40B4-BE49-F238E27FC236}">
                  <a16:creationId xmlns:a16="http://schemas.microsoft.com/office/drawing/2014/main" id="{CCC2B761-3403-FE73-6D85-7485D2F4CDA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234940" y="17602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AN K" refreshedDate="46055.41032372685" createdVersion="8" refreshedVersion="8" minRefreshableVersion="3" recordCount="53" xr:uid="{15251EAB-3816-4DF7-8CF1-E27C7A444EE1}">
  <cacheSource type="worksheet">
    <worksheetSource ref="A1:I1048576" sheet="SalesData"/>
  </cacheSource>
  <cacheFields count="9">
    <cacheField name="Date" numFmtId="0">
      <sharedItems containsNonDate="0" containsDate="1" containsString="0" containsBlank="1" minDate="2020-05-07T00:00:00" maxDate="2021-12-22T00:00:00"/>
    </cacheField>
    <cacheField name="Sales Person" numFmtId="0">
      <sharedItems containsBlank="1" count="11">
        <s v="Andrew"/>
        <s v="Grace"/>
        <s v="Ella"/>
        <s v="Cameron"/>
        <s v="Megan"/>
        <s v="Carolyn"/>
        <s v="Virginia"/>
        <s v="Connor"/>
        <s v="Anna"/>
        <s v="Nicholas"/>
        <m/>
      </sharedItems>
    </cacheField>
    <cacheField name="Region" numFmtId="0">
      <sharedItems containsBlank="1" count="5">
        <s v="West"/>
        <s v="East"/>
        <s v="South"/>
        <s v="North"/>
        <m/>
      </sharedItems>
    </cacheField>
    <cacheField name="Product" numFmtId="0">
      <sharedItems containsBlank="1" count="8">
        <s v="Tent"/>
        <s v="Blender"/>
        <s v="Action Figure"/>
        <s v="Novel"/>
        <s v="Sneakers"/>
        <s v="Moisturizer"/>
        <s v="Smartphone"/>
        <m/>
      </sharedItems>
    </cacheField>
    <cacheField name="Units Sold" numFmtId="0">
      <sharedItems containsString="0" containsBlank="1" containsNumber="1" containsInteger="1" minValue="51" maxValue="149"/>
    </cacheField>
    <cacheField name="Unit Price" numFmtId="0">
      <sharedItems containsString="0" containsBlank="1" containsNumber="1" containsInteger="1" minValue="600" maxValue="10000"/>
    </cacheField>
    <cacheField name="Cost of Goods" numFmtId="0">
      <sharedItems containsString="0" containsBlank="1" containsNumber="1" containsInteger="1" minValue="400" maxValue="7000"/>
    </cacheField>
    <cacheField name="Total Sales" numFmtId="0">
      <sharedItems containsString="0" containsBlank="1" containsNumber="1" containsInteger="1" minValue="34200" maxValue="1270000" count="48">
        <n v="504000"/>
        <n v="448000"/>
        <n v="163200"/>
        <n v="91000"/>
        <n v="440000"/>
        <n v="61200"/>
        <n v="78000"/>
        <n v="876000"/>
        <n v="60600"/>
        <n v="312000"/>
        <n v="66000"/>
        <n v="137000"/>
        <n v="336000"/>
        <n v="208000"/>
        <n v="266000"/>
        <n v="580000"/>
        <n v="49800"/>
        <n v="1080000"/>
        <n v="576000"/>
        <n v="55200"/>
        <n v="426000"/>
        <n v="61800"/>
        <n v="55000"/>
        <n v="372000"/>
        <n v="85800"/>
        <n v="500500"/>
        <n v="59400"/>
        <n v="120000"/>
        <n v="231000"/>
        <n v="105600"/>
        <n v="1270000"/>
        <n v="268000"/>
        <n v="80400"/>
        <n v="149000"/>
        <n v="62400"/>
        <n v="34200"/>
        <n v="54000"/>
        <n v="40200"/>
        <n v="508000"/>
        <n v="108000"/>
        <n v="468000"/>
        <n v="69000"/>
        <n v="70800"/>
        <n v="65400"/>
        <n v="244000"/>
        <n v="210000"/>
        <n v="438000"/>
        <m/>
      </sharedItems>
    </cacheField>
    <cacheField name="profit" numFmtId="0">
      <sharedItems containsString="0" containsBlank="1" containsNumber="1" containsInteger="1" minValue="11400" maxValue="381000"/>
    </cacheField>
  </cacheFields>
  <extLst>
    <ext xmlns:x14="http://schemas.microsoft.com/office/spreadsheetml/2009/9/main" uri="{725AE2AE-9491-48be-B2B4-4EB974FC3084}">
      <x14:pivotCacheDefinition pivotCacheId="3149414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
  <r>
    <d v="2021-02-19T00:00:00"/>
    <x v="0"/>
    <x v="0"/>
    <x v="0"/>
    <n v="84"/>
    <n v="6000"/>
    <n v="4000"/>
    <x v="0"/>
    <n v="168000"/>
  </r>
  <r>
    <d v="2021-09-07T00:00:00"/>
    <x v="1"/>
    <x v="1"/>
    <x v="1"/>
    <n v="128"/>
    <n v="3500"/>
    <n v="2500"/>
    <x v="1"/>
    <n v="128000"/>
  </r>
  <r>
    <d v="2021-02-03T00:00:00"/>
    <x v="2"/>
    <x v="2"/>
    <x v="2"/>
    <n v="136"/>
    <n v="1200"/>
    <n v="800"/>
    <x v="2"/>
    <n v="54400"/>
  </r>
  <r>
    <d v="2020-09-11T00:00:00"/>
    <x v="3"/>
    <x v="3"/>
    <x v="3"/>
    <n v="91"/>
    <n v="1000"/>
    <n v="700"/>
    <x v="3"/>
    <n v="27300"/>
  </r>
  <r>
    <d v="2021-09-23T00:00:00"/>
    <x v="4"/>
    <x v="0"/>
    <x v="4"/>
    <n v="110"/>
    <n v="4000"/>
    <n v="3000"/>
    <x v="4"/>
    <n v="110000"/>
  </r>
  <r>
    <d v="2020-10-01T00:00:00"/>
    <x v="5"/>
    <x v="1"/>
    <x v="2"/>
    <n v="51"/>
    <n v="1200"/>
    <n v="800"/>
    <x v="5"/>
    <n v="20400"/>
  </r>
  <r>
    <d v="2021-08-05T00:00:00"/>
    <x v="6"/>
    <x v="3"/>
    <x v="3"/>
    <n v="78"/>
    <n v="1000"/>
    <n v="700"/>
    <x v="6"/>
    <n v="23400"/>
  </r>
  <r>
    <d v="2020-11-06T00:00:00"/>
    <x v="7"/>
    <x v="2"/>
    <x v="0"/>
    <n v="146"/>
    <n v="6000"/>
    <n v="4000"/>
    <x v="7"/>
    <n v="292000"/>
  </r>
  <r>
    <d v="2021-01-27T00:00:00"/>
    <x v="8"/>
    <x v="0"/>
    <x v="5"/>
    <n v="101"/>
    <n v="600"/>
    <n v="400"/>
    <x v="8"/>
    <n v="20200"/>
  </r>
  <r>
    <d v="2021-09-03T00:00:00"/>
    <x v="9"/>
    <x v="2"/>
    <x v="0"/>
    <n v="52"/>
    <n v="6000"/>
    <n v="4000"/>
    <x v="9"/>
    <n v="104000"/>
  </r>
  <r>
    <d v="2021-09-30T00:00:00"/>
    <x v="9"/>
    <x v="1"/>
    <x v="2"/>
    <n v="55"/>
    <n v="1200"/>
    <n v="800"/>
    <x v="10"/>
    <n v="22000"/>
  </r>
  <r>
    <d v="2020-09-10T00:00:00"/>
    <x v="9"/>
    <x v="2"/>
    <x v="3"/>
    <n v="137"/>
    <n v="1000"/>
    <n v="700"/>
    <x v="11"/>
    <n v="41100"/>
  </r>
  <r>
    <d v="2021-07-27T00:00:00"/>
    <x v="7"/>
    <x v="2"/>
    <x v="1"/>
    <n v="96"/>
    <n v="3500"/>
    <n v="2500"/>
    <x v="12"/>
    <n v="96000"/>
  </r>
  <r>
    <d v="2020-10-09T00:00:00"/>
    <x v="8"/>
    <x v="1"/>
    <x v="4"/>
    <n v="52"/>
    <n v="4000"/>
    <n v="3000"/>
    <x v="13"/>
    <n v="52000"/>
  </r>
  <r>
    <d v="2021-04-06T00:00:00"/>
    <x v="3"/>
    <x v="0"/>
    <x v="1"/>
    <n v="76"/>
    <n v="3500"/>
    <n v="2500"/>
    <x v="14"/>
    <n v="76000"/>
  </r>
  <r>
    <d v="2021-06-15T00:00:00"/>
    <x v="1"/>
    <x v="3"/>
    <x v="4"/>
    <n v="145"/>
    <n v="4000"/>
    <n v="3000"/>
    <x v="15"/>
    <n v="145000"/>
  </r>
  <r>
    <d v="2020-09-09T00:00:00"/>
    <x v="0"/>
    <x v="2"/>
    <x v="5"/>
    <n v="83"/>
    <n v="600"/>
    <n v="400"/>
    <x v="16"/>
    <n v="16600"/>
  </r>
  <r>
    <d v="2021-08-13T00:00:00"/>
    <x v="4"/>
    <x v="2"/>
    <x v="3"/>
    <n v="91"/>
    <n v="1000"/>
    <n v="700"/>
    <x v="3"/>
    <n v="27300"/>
  </r>
  <r>
    <d v="2020-08-27T00:00:00"/>
    <x v="5"/>
    <x v="0"/>
    <x v="6"/>
    <n v="108"/>
    <n v="10000"/>
    <n v="7000"/>
    <x v="17"/>
    <n v="324000"/>
  </r>
  <r>
    <d v="2021-04-07T00:00:00"/>
    <x v="2"/>
    <x v="3"/>
    <x v="4"/>
    <n v="144"/>
    <n v="4000"/>
    <n v="3000"/>
    <x v="18"/>
    <n v="144000"/>
  </r>
  <r>
    <d v="2020-06-08T00:00:00"/>
    <x v="4"/>
    <x v="2"/>
    <x v="5"/>
    <n v="92"/>
    <n v="600"/>
    <n v="400"/>
    <x v="19"/>
    <n v="18400"/>
  </r>
  <r>
    <d v="2021-12-21T00:00:00"/>
    <x v="7"/>
    <x v="0"/>
    <x v="0"/>
    <n v="71"/>
    <n v="6000"/>
    <n v="4000"/>
    <x v="20"/>
    <n v="142000"/>
  </r>
  <r>
    <d v="2021-08-10T00:00:00"/>
    <x v="0"/>
    <x v="1"/>
    <x v="5"/>
    <n v="103"/>
    <n v="600"/>
    <n v="400"/>
    <x v="21"/>
    <n v="20600"/>
  </r>
  <r>
    <d v="2021-12-02T00:00:00"/>
    <x v="9"/>
    <x v="3"/>
    <x v="3"/>
    <n v="55"/>
    <n v="1000"/>
    <n v="700"/>
    <x v="22"/>
    <n v="16500"/>
  </r>
  <r>
    <d v="2021-08-30T00:00:00"/>
    <x v="5"/>
    <x v="1"/>
    <x v="4"/>
    <n v="93"/>
    <n v="4000"/>
    <n v="3000"/>
    <x v="23"/>
    <n v="93000"/>
  </r>
  <r>
    <d v="2020-05-20T00:00:00"/>
    <x v="2"/>
    <x v="2"/>
    <x v="5"/>
    <n v="143"/>
    <n v="600"/>
    <n v="400"/>
    <x v="24"/>
    <n v="28600"/>
  </r>
  <r>
    <d v="2021-09-13T00:00:00"/>
    <x v="6"/>
    <x v="0"/>
    <x v="1"/>
    <n v="143"/>
    <n v="3500"/>
    <n v="2500"/>
    <x v="25"/>
    <n v="143000"/>
  </r>
  <r>
    <d v="2021-10-27T00:00:00"/>
    <x v="8"/>
    <x v="3"/>
    <x v="5"/>
    <n v="99"/>
    <n v="600"/>
    <n v="400"/>
    <x v="26"/>
    <n v="19800"/>
  </r>
  <r>
    <d v="2020-12-22T00:00:00"/>
    <x v="3"/>
    <x v="0"/>
    <x v="3"/>
    <n v="120"/>
    <n v="1000"/>
    <n v="700"/>
    <x v="27"/>
    <n v="36000"/>
  </r>
  <r>
    <d v="2021-07-28T00:00:00"/>
    <x v="1"/>
    <x v="2"/>
    <x v="1"/>
    <n v="66"/>
    <n v="3500"/>
    <n v="2500"/>
    <x v="28"/>
    <n v="66000"/>
  </r>
  <r>
    <d v="2020-09-29T00:00:00"/>
    <x v="8"/>
    <x v="3"/>
    <x v="2"/>
    <n v="88"/>
    <n v="1200"/>
    <n v="800"/>
    <x v="29"/>
    <n v="35200"/>
  </r>
  <r>
    <d v="2020-10-22T00:00:00"/>
    <x v="3"/>
    <x v="1"/>
    <x v="6"/>
    <n v="127"/>
    <n v="10000"/>
    <n v="7000"/>
    <x v="30"/>
    <n v="381000"/>
  </r>
  <r>
    <d v="2020-05-19T00:00:00"/>
    <x v="4"/>
    <x v="0"/>
    <x v="4"/>
    <n v="67"/>
    <n v="4000"/>
    <n v="3000"/>
    <x v="31"/>
    <n v="67000"/>
  </r>
  <r>
    <d v="2021-12-06T00:00:00"/>
    <x v="1"/>
    <x v="1"/>
    <x v="2"/>
    <n v="67"/>
    <n v="1200"/>
    <n v="800"/>
    <x v="32"/>
    <n v="26800"/>
  </r>
  <r>
    <d v="2020-08-26T00:00:00"/>
    <x v="9"/>
    <x v="2"/>
    <x v="3"/>
    <n v="149"/>
    <n v="1000"/>
    <n v="700"/>
    <x v="33"/>
    <n v="44700"/>
  </r>
  <r>
    <d v="2021-07-01T00:00:00"/>
    <x v="4"/>
    <x v="3"/>
    <x v="5"/>
    <n v="104"/>
    <n v="600"/>
    <n v="400"/>
    <x v="34"/>
    <n v="20800"/>
  </r>
  <r>
    <d v="2021-07-27T00:00:00"/>
    <x v="7"/>
    <x v="0"/>
    <x v="5"/>
    <n v="57"/>
    <n v="600"/>
    <n v="400"/>
    <x v="35"/>
    <n v="11400"/>
  </r>
  <r>
    <d v="2020-10-05T00:00:00"/>
    <x v="2"/>
    <x v="1"/>
    <x v="5"/>
    <n v="90"/>
    <n v="600"/>
    <n v="400"/>
    <x v="36"/>
    <n v="18000"/>
  </r>
  <r>
    <d v="2020-09-02T00:00:00"/>
    <x v="5"/>
    <x v="2"/>
    <x v="5"/>
    <n v="67"/>
    <n v="600"/>
    <n v="400"/>
    <x v="37"/>
    <n v="13400"/>
  </r>
  <r>
    <d v="2021-09-02T00:00:00"/>
    <x v="0"/>
    <x v="3"/>
    <x v="4"/>
    <n v="127"/>
    <n v="4000"/>
    <n v="3000"/>
    <x v="38"/>
    <n v="127000"/>
  </r>
  <r>
    <d v="2021-04-13T00:00:00"/>
    <x v="5"/>
    <x v="0"/>
    <x v="3"/>
    <n v="108"/>
    <n v="1000"/>
    <n v="700"/>
    <x v="39"/>
    <n v="32400"/>
  </r>
  <r>
    <d v="2021-05-06T00:00:00"/>
    <x v="2"/>
    <x v="1"/>
    <x v="1"/>
    <n v="66"/>
    <n v="3500"/>
    <n v="2500"/>
    <x v="28"/>
    <n v="66000"/>
  </r>
  <r>
    <d v="2021-01-15T00:00:00"/>
    <x v="0"/>
    <x v="3"/>
    <x v="0"/>
    <n v="78"/>
    <n v="6000"/>
    <n v="4000"/>
    <x v="40"/>
    <n v="156000"/>
  </r>
  <r>
    <d v="2020-08-27T00:00:00"/>
    <x v="7"/>
    <x v="2"/>
    <x v="3"/>
    <n v="69"/>
    <n v="1000"/>
    <n v="700"/>
    <x v="41"/>
    <n v="20700"/>
  </r>
  <r>
    <d v="2021-02-05T00:00:00"/>
    <x v="4"/>
    <x v="0"/>
    <x v="2"/>
    <n v="59"/>
    <n v="1200"/>
    <n v="800"/>
    <x v="42"/>
    <n v="23600"/>
  </r>
  <r>
    <d v="2021-11-17T00:00:00"/>
    <x v="9"/>
    <x v="2"/>
    <x v="5"/>
    <n v="109"/>
    <n v="600"/>
    <n v="400"/>
    <x v="43"/>
    <n v="21800"/>
  </r>
  <r>
    <d v="2020-12-28T00:00:00"/>
    <x v="8"/>
    <x v="1"/>
    <x v="4"/>
    <n v="61"/>
    <n v="4000"/>
    <n v="3000"/>
    <x v="44"/>
    <n v="61000"/>
  </r>
  <r>
    <d v="2021-10-27T00:00:00"/>
    <x v="4"/>
    <x v="3"/>
    <x v="5"/>
    <n v="130"/>
    <n v="600"/>
    <n v="400"/>
    <x v="6"/>
    <n v="26000"/>
  </r>
  <r>
    <d v="2021-11-02T00:00:00"/>
    <x v="3"/>
    <x v="2"/>
    <x v="1"/>
    <n v="60"/>
    <n v="3500"/>
    <n v="2500"/>
    <x v="45"/>
    <n v="60000"/>
  </r>
  <r>
    <d v="2020-05-07T00:00:00"/>
    <x v="1"/>
    <x v="1"/>
    <x v="0"/>
    <n v="73"/>
    <n v="6000"/>
    <n v="4000"/>
    <x v="46"/>
    <n v="146000"/>
  </r>
  <r>
    <m/>
    <x v="10"/>
    <x v="4"/>
    <x v="7"/>
    <m/>
    <m/>
    <m/>
    <x v="47"/>
    <m/>
  </r>
  <r>
    <m/>
    <x v="10"/>
    <x v="4"/>
    <x v="7"/>
    <m/>
    <m/>
    <m/>
    <x v="47"/>
    <m/>
  </r>
  <r>
    <m/>
    <x v="10"/>
    <x v="4"/>
    <x v="7"/>
    <m/>
    <m/>
    <m/>
    <x v="47"/>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D41753-54FF-4874-8D2C-339216266BA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9">
    <pivotField showAll="0"/>
    <pivotField showAll="0">
      <items count="12">
        <item x="0"/>
        <item x="8"/>
        <item x="3"/>
        <item x="5"/>
        <item x="7"/>
        <item x="2"/>
        <item x="1"/>
        <item x="4"/>
        <item x="9"/>
        <item x="6"/>
        <item x="10"/>
        <item t="default"/>
      </items>
    </pivotField>
    <pivotField axis="axisRow" showAll="0">
      <items count="6">
        <item x="1"/>
        <item x="3"/>
        <item x="2"/>
        <item x="0"/>
        <item x="4"/>
        <item t="default"/>
      </items>
    </pivotField>
    <pivotField showAll="0">
      <items count="9">
        <item x="2"/>
        <item x="1"/>
        <item x="5"/>
        <item x="3"/>
        <item x="6"/>
        <item x="4"/>
        <item x="0"/>
        <item x="7"/>
        <item t="default"/>
      </items>
    </pivotField>
    <pivotField showAll="0"/>
    <pivotField showAll="0"/>
    <pivotField showAll="0"/>
    <pivotField dataField="1" showAll="0"/>
    <pivotField showAll="0"/>
  </pivotFields>
  <rowFields count="1">
    <field x="2"/>
  </rowFields>
  <rowItems count="6">
    <i>
      <x/>
    </i>
    <i>
      <x v="1"/>
    </i>
    <i>
      <x v="2"/>
    </i>
    <i>
      <x v="3"/>
    </i>
    <i>
      <x v="4"/>
    </i>
    <i t="grand">
      <x/>
    </i>
  </rowItems>
  <colItems count="1">
    <i/>
  </colItems>
  <dataFields count="1">
    <dataField name="Sum of Total Sales" fld="7" baseField="0" baseItem="0"/>
  </dataFields>
  <formats count="6">
    <format dxfId="33">
      <pivotArea collapsedLevelsAreSubtotals="1" fieldPosition="0">
        <references count="1">
          <reference field="2" count="0"/>
        </references>
      </pivotArea>
    </format>
    <format dxfId="32">
      <pivotArea field="2" type="button" dataOnly="0" labelOnly="1" outline="0" axis="axisRow" fieldPosition="0"/>
    </format>
    <format dxfId="31">
      <pivotArea dataOnly="0" labelOnly="1" fieldPosition="0">
        <references count="1">
          <reference field="2" count="0"/>
        </references>
      </pivotArea>
    </format>
    <format dxfId="30">
      <pivotArea dataOnly="0" labelOnly="1" outline="0" axis="axisValues" fieldPosition="0"/>
    </format>
    <format dxfId="29">
      <pivotArea collapsedLevelsAreSubtotals="1" fieldPosition="0">
        <references count="1">
          <reference field="2" count="1">
            <x v="0"/>
          </reference>
        </references>
      </pivotArea>
    </format>
    <format dxfId="28">
      <pivotArea collapsedLevelsAreSubtotals="1" fieldPosition="0">
        <references count="1">
          <reference field="2" count="3">
            <x v="1"/>
            <x v="2"/>
            <x v="3"/>
          </reference>
        </references>
      </pivotArea>
    </format>
  </format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0026B5-CA47-4F6A-B270-0E176B26062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L3:M15" firstHeaderRow="1" firstDataRow="1" firstDataCol="1"/>
  <pivotFields count="9">
    <pivotField showAll="0"/>
    <pivotField axis="axisRow" showAll="0">
      <items count="12">
        <item x="0"/>
        <item x="8"/>
        <item x="3"/>
        <item x="5"/>
        <item x="7"/>
        <item x="2"/>
        <item x="1"/>
        <item x="4"/>
        <item x="9"/>
        <item x="6"/>
        <item x="10"/>
        <item t="default"/>
      </items>
    </pivotField>
    <pivotField showAll="0">
      <items count="6">
        <item x="1"/>
        <item x="3"/>
        <item x="2"/>
        <item x="0"/>
        <item x="4"/>
        <item t="default"/>
      </items>
    </pivotField>
    <pivotField showAll="0">
      <items count="9">
        <item x="2"/>
        <item x="1"/>
        <item x="5"/>
        <item x="3"/>
        <item x="6"/>
        <item x="4"/>
        <item x="0"/>
        <item x="7"/>
        <item t="default"/>
      </items>
    </pivotField>
    <pivotField showAll="0"/>
    <pivotField showAll="0"/>
    <pivotField showAll="0"/>
    <pivotField dataField="1" showAll="0">
      <items count="49">
        <item x="35"/>
        <item x="37"/>
        <item x="16"/>
        <item x="36"/>
        <item x="22"/>
        <item x="19"/>
        <item x="26"/>
        <item x="8"/>
        <item x="5"/>
        <item x="21"/>
        <item x="34"/>
        <item x="43"/>
        <item x="10"/>
        <item x="41"/>
        <item x="42"/>
        <item x="6"/>
        <item x="32"/>
        <item x="24"/>
        <item x="3"/>
        <item x="29"/>
        <item x="39"/>
        <item x="27"/>
        <item x="11"/>
        <item x="33"/>
        <item x="2"/>
        <item x="13"/>
        <item x="45"/>
        <item x="28"/>
        <item x="44"/>
        <item x="14"/>
        <item x="31"/>
        <item x="9"/>
        <item x="12"/>
        <item x="23"/>
        <item x="20"/>
        <item x="46"/>
        <item x="4"/>
        <item x="1"/>
        <item x="40"/>
        <item x="25"/>
        <item x="0"/>
        <item x="38"/>
        <item x="18"/>
        <item x="15"/>
        <item x="7"/>
        <item x="17"/>
        <item x="30"/>
        <item x="47"/>
        <item t="default"/>
      </items>
    </pivotField>
    <pivotField showAll="0"/>
  </pivotFields>
  <rowFields count="1">
    <field x="1"/>
  </rowFields>
  <rowItems count="12">
    <i>
      <x/>
    </i>
    <i>
      <x v="1"/>
    </i>
    <i>
      <x v="2"/>
    </i>
    <i>
      <x v="3"/>
    </i>
    <i>
      <x v="4"/>
    </i>
    <i>
      <x v="5"/>
    </i>
    <i>
      <x v="6"/>
    </i>
    <i>
      <x v="7"/>
    </i>
    <i>
      <x v="8"/>
    </i>
    <i>
      <x v="9"/>
    </i>
    <i>
      <x v="10"/>
    </i>
    <i t="grand">
      <x/>
    </i>
  </rowItems>
  <colItems count="1">
    <i/>
  </colItems>
  <dataFields count="1">
    <dataField name="Sum of Total Sales" fld="7" baseField="0" baseItem="0"/>
  </dataFields>
  <formats count="4">
    <format dxfId="37">
      <pivotArea dataOnly="0" fieldPosition="0">
        <references count="1">
          <reference field="1" count="9">
            <x v="0"/>
            <x v="1"/>
            <x v="2"/>
            <x v="3"/>
            <x v="4"/>
            <x v="5"/>
            <x v="6"/>
            <x v="7"/>
            <x v="8"/>
          </reference>
        </references>
      </pivotArea>
    </format>
    <format dxfId="36">
      <pivotArea collapsedLevelsAreSubtotals="1" fieldPosition="0">
        <references count="1">
          <reference field="1" count="9">
            <x v="0"/>
            <x v="1"/>
            <x v="2"/>
            <x v="3"/>
            <x v="4"/>
            <x v="5"/>
            <x v="6"/>
            <x v="7"/>
            <x v="8"/>
          </reference>
        </references>
      </pivotArea>
    </format>
    <format dxfId="35">
      <pivotArea collapsedLevelsAreSubtotals="1" fieldPosition="0">
        <references count="1">
          <reference field="1" count="1">
            <x v="9"/>
          </reference>
        </references>
      </pivotArea>
    </format>
    <format dxfId="34">
      <pivotArea grandRow="1" outline="0" collapsedLevelsAreSubtotals="1" fieldPosition="0"/>
    </format>
  </formats>
  <chartFormats count="11">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2">
          <reference field="4294967294" count="1" selected="0">
            <x v="0"/>
          </reference>
          <reference field="1" count="1" selected="0">
            <x v="1"/>
          </reference>
        </references>
      </pivotArea>
    </chartFormat>
    <chartFormat chart="10" format="2" series="1">
      <pivotArea type="data" outline="0" fieldPosition="0">
        <references count="2">
          <reference field="4294967294" count="1" selected="0">
            <x v="0"/>
          </reference>
          <reference field="1" count="1" selected="0">
            <x v="2"/>
          </reference>
        </references>
      </pivotArea>
    </chartFormat>
    <chartFormat chart="10" format="3" series="1">
      <pivotArea type="data" outline="0" fieldPosition="0">
        <references count="2">
          <reference field="4294967294" count="1" selected="0">
            <x v="0"/>
          </reference>
          <reference field="1" count="1" selected="0">
            <x v="3"/>
          </reference>
        </references>
      </pivotArea>
    </chartFormat>
    <chartFormat chart="10" format="4" series="1">
      <pivotArea type="data" outline="0" fieldPosition="0">
        <references count="2">
          <reference field="4294967294" count="1" selected="0">
            <x v="0"/>
          </reference>
          <reference field="1" count="1" selected="0">
            <x v="4"/>
          </reference>
        </references>
      </pivotArea>
    </chartFormat>
    <chartFormat chart="10" format="5" series="1">
      <pivotArea type="data" outline="0" fieldPosition="0">
        <references count="2">
          <reference field="4294967294" count="1" selected="0">
            <x v="0"/>
          </reference>
          <reference field="1" count="1" selected="0">
            <x v="5"/>
          </reference>
        </references>
      </pivotArea>
    </chartFormat>
    <chartFormat chart="10" format="6" series="1">
      <pivotArea type="data" outline="0" fieldPosition="0">
        <references count="2">
          <reference field="4294967294" count="1" selected="0">
            <x v="0"/>
          </reference>
          <reference field="1" count="1" selected="0">
            <x v="6"/>
          </reference>
        </references>
      </pivotArea>
    </chartFormat>
    <chartFormat chart="10" format="7" series="1">
      <pivotArea type="data" outline="0" fieldPosition="0">
        <references count="2">
          <reference field="4294967294" count="1" selected="0">
            <x v="0"/>
          </reference>
          <reference field="1" count="1" selected="0">
            <x v="7"/>
          </reference>
        </references>
      </pivotArea>
    </chartFormat>
    <chartFormat chart="10" format="8" series="1">
      <pivotArea type="data" outline="0" fieldPosition="0">
        <references count="2">
          <reference field="4294967294" count="1" selected="0">
            <x v="0"/>
          </reference>
          <reference field="1" count="1" selected="0">
            <x v="8"/>
          </reference>
        </references>
      </pivotArea>
    </chartFormat>
    <chartFormat chart="10" format="9" series="1">
      <pivotArea type="data" outline="0" fieldPosition="0">
        <references count="2">
          <reference field="4294967294" count="1" selected="0">
            <x v="0"/>
          </reference>
          <reference field="1" count="1" selected="0">
            <x v="9"/>
          </reference>
        </references>
      </pivotArea>
    </chartFormat>
    <chartFormat chart="17"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61C62B-B786-4C4F-B8F3-BC43F4AD07F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2:I11" firstHeaderRow="1" firstDataRow="1" firstDataCol="1"/>
  <pivotFields count="9">
    <pivotField showAll="0"/>
    <pivotField showAll="0">
      <items count="12">
        <item x="0"/>
        <item x="8"/>
        <item x="3"/>
        <item x="5"/>
        <item x="7"/>
        <item x="2"/>
        <item x="1"/>
        <item x="4"/>
        <item x="9"/>
        <item x="6"/>
        <item x="10"/>
        <item t="default"/>
      </items>
    </pivotField>
    <pivotField showAll="0">
      <items count="6">
        <item x="1"/>
        <item x="3"/>
        <item x="2"/>
        <item x="0"/>
        <item x="4"/>
        <item t="default"/>
      </items>
    </pivotField>
    <pivotField axis="axisRow" showAll="0">
      <items count="9">
        <item x="2"/>
        <item x="1"/>
        <item x="5"/>
        <item x="3"/>
        <item x="6"/>
        <item x="4"/>
        <item x="0"/>
        <item x="7"/>
        <item t="default"/>
      </items>
    </pivotField>
    <pivotField dataField="1" showAll="0"/>
    <pivotField showAll="0"/>
    <pivotField showAll="0"/>
    <pivotField showAll="0"/>
    <pivotField showAll="0"/>
  </pivotFields>
  <rowFields count="1">
    <field x="3"/>
  </rowFields>
  <rowItems count="9">
    <i>
      <x/>
    </i>
    <i>
      <x v="1"/>
    </i>
    <i>
      <x v="2"/>
    </i>
    <i>
      <x v="3"/>
    </i>
    <i>
      <x v="4"/>
    </i>
    <i>
      <x v="5"/>
    </i>
    <i>
      <x v="6"/>
    </i>
    <i>
      <x v="7"/>
    </i>
    <i t="grand">
      <x/>
    </i>
  </rowItems>
  <colItems count="1">
    <i/>
  </colItems>
  <dataFields count="1">
    <dataField name="Sum of Units Sold" fld="4" baseField="0" baseItem="0"/>
  </dataFields>
  <chartFormats count="17">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3" count="1" selected="0">
            <x v="0"/>
          </reference>
        </references>
      </pivotArea>
    </chartFormat>
    <chartFormat chart="6" format="2">
      <pivotArea type="data" outline="0" fieldPosition="0">
        <references count="2">
          <reference field="4294967294" count="1" selected="0">
            <x v="0"/>
          </reference>
          <reference field="3" count="1" selected="0">
            <x v="1"/>
          </reference>
        </references>
      </pivotArea>
    </chartFormat>
    <chartFormat chart="6" format="3">
      <pivotArea type="data" outline="0" fieldPosition="0">
        <references count="2">
          <reference field="4294967294" count="1" selected="0">
            <x v="0"/>
          </reference>
          <reference field="3" count="1" selected="0">
            <x v="2"/>
          </reference>
        </references>
      </pivotArea>
    </chartFormat>
    <chartFormat chart="6" format="4">
      <pivotArea type="data" outline="0" fieldPosition="0">
        <references count="2">
          <reference field="4294967294" count="1" selected="0">
            <x v="0"/>
          </reference>
          <reference field="3" count="1" selected="0">
            <x v="3"/>
          </reference>
        </references>
      </pivotArea>
    </chartFormat>
    <chartFormat chart="6" format="5">
      <pivotArea type="data" outline="0" fieldPosition="0">
        <references count="2">
          <reference field="4294967294" count="1" selected="0">
            <x v="0"/>
          </reference>
          <reference field="3" count="1" selected="0">
            <x v="4"/>
          </reference>
        </references>
      </pivotArea>
    </chartFormat>
    <chartFormat chart="6" format="6">
      <pivotArea type="data" outline="0" fieldPosition="0">
        <references count="2">
          <reference field="4294967294" count="1" selected="0">
            <x v="0"/>
          </reference>
          <reference field="3" count="1" selected="0">
            <x v="5"/>
          </reference>
        </references>
      </pivotArea>
    </chartFormat>
    <chartFormat chart="6" format="7">
      <pivotArea type="data" outline="0" fieldPosition="0">
        <references count="2">
          <reference field="4294967294" count="1" selected="0">
            <x v="0"/>
          </reference>
          <reference field="3" count="1" selected="0">
            <x v="6"/>
          </reference>
        </references>
      </pivotArea>
    </chartFormat>
    <chartFormat chart="8" format="16" series="1">
      <pivotArea type="data" outline="0" fieldPosition="0">
        <references count="1">
          <reference field="4294967294" count="1" selected="0">
            <x v="0"/>
          </reference>
        </references>
      </pivotArea>
    </chartFormat>
    <chartFormat chart="8" format="17">
      <pivotArea type="data" outline="0" fieldPosition="0">
        <references count="2">
          <reference field="4294967294" count="1" selected="0">
            <x v="0"/>
          </reference>
          <reference field="3" count="1" selected="0">
            <x v="0"/>
          </reference>
        </references>
      </pivotArea>
    </chartFormat>
    <chartFormat chart="8" format="18">
      <pivotArea type="data" outline="0" fieldPosition="0">
        <references count="2">
          <reference field="4294967294" count="1" selected="0">
            <x v="0"/>
          </reference>
          <reference field="3" count="1" selected="0">
            <x v="1"/>
          </reference>
        </references>
      </pivotArea>
    </chartFormat>
    <chartFormat chart="8" format="19">
      <pivotArea type="data" outline="0" fieldPosition="0">
        <references count="2">
          <reference field="4294967294" count="1" selected="0">
            <x v="0"/>
          </reference>
          <reference field="3" count="1" selected="0">
            <x v="2"/>
          </reference>
        </references>
      </pivotArea>
    </chartFormat>
    <chartFormat chart="8" format="20">
      <pivotArea type="data" outline="0" fieldPosition="0">
        <references count="2">
          <reference field="4294967294" count="1" selected="0">
            <x v="0"/>
          </reference>
          <reference field="3" count="1" selected="0">
            <x v="3"/>
          </reference>
        </references>
      </pivotArea>
    </chartFormat>
    <chartFormat chart="8" format="21">
      <pivotArea type="data" outline="0" fieldPosition="0">
        <references count="2">
          <reference field="4294967294" count="1" selected="0">
            <x v="0"/>
          </reference>
          <reference field="3" count="1" selected="0">
            <x v="4"/>
          </reference>
        </references>
      </pivotArea>
    </chartFormat>
    <chartFormat chart="8" format="22">
      <pivotArea type="data" outline="0" fieldPosition="0">
        <references count="2">
          <reference field="4294967294" count="1" selected="0">
            <x v="0"/>
          </reference>
          <reference field="3" count="1" selected="0">
            <x v="5"/>
          </reference>
        </references>
      </pivotArea>
    </chartFormat>
    <chartFormat chart="8" format="23">
      <pivotArea type="data" outline="0" fieldPosition="0">
        <references count="2">
          <reference field="4294967294" count="1" selected="0">
            <x v="0"/>
          </reference>
          <reference field="3" count="1" selected="0">
            <x v="6"/>
          </reference>
        </references>
      </pivotArea>
    </chartFormat>
    <chartFormat chart="8" format="24">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D679C1-EBAE-42D0-A81B-C610B1E207F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2:F11" firstHeaderRow="1" firstDataRow="1" firstDataCol="1"/>
  <pivotFields count="9">
    <pivotField showAll="0"/>
    <pivotField showAll="0">
      <items count="12">
        <item x="0"/>
        <item x="8"/>
        <item x="3"/>
        <item x="5"/>
        <item x="7"/>
        <item x="2"/>
        <item x="1"/>
        <item x="4"/>
        <item x="9"/>
        <item x="6"/>
        <item x="10"/>
        <item t="default"/>
      </items>
    </pivotField>
    <pivotField showAll="0">
      <items count="6">
        <item x="1"/>
        <item x="3"/>
        <item x="2"/>
        <item x="0"/>
        <item x="4"/>
        <item t="default"/>
      </items>
    </pivotField>
    <pivotField axis="axisRow" showAll="0">
      <items count="9">
        <item x="2"/>
        <item x="1"/>
        <item x="5"/>
        <item x="3"/>
        <item x="6"/>
        <item x="4"/>
        <item x="0"/>
        <item x="7"/>
        <item t="default"/>
      </items>
    </pivotField>
    <pivotField showAll="0"/>
    <pivotField showAll="0"/>
    <pivotField showAll="0"/>
    <pivotField dataField="1" showAll="0"/>
    <pivotField showAll="0"/>
  </pivotFields>
  <rowFields count="1">
    <field x="3"/>
  </rowFields>
  <rowItems count="9">
    <i>
      <x/>
    </i>
    <i>
      <x v="1"/>
    </i>
    <i>
      <x v="2"/>
    </i>
    <i>
      <x v="3"/>
    </i>
    <i>
      <x v="4"/>
    </i>
    <i>
      <x v="5"/>
    </i>
    <i>
      <x v="6"/>
    </i>
    <i>
      <x v="7"/>
    </i>
    <i t="grand">
      <x/>
    </i>
  </rowItems>
  <colItems count="1">
    <i/>
  </colItems>
  <dataFields count="1">
    <dataField name="Sum of Total Sales" fld="7" baseField="0" baseItem="0" numFmtId="165"/>
  </dataFields>
  <formats count="4">
    <format dxfId="41">
      <pivotArea outline="0" collapsedLevelsAreSubtotals="1" fieldPosition="0"/>
    </format>
    <format dxfId="40">
      <pivotArea dataOnly="0" labelOnly="1" fieldPosition="0">
        <references count="1">
          <reference field="3" count="0"/>
        </references>
      </pivotArea>
    </format>
    <format dxfId="39">
      <pivotArea dataOnly="0" labelOnly="1" grandRow="1" outline="0" fieldPosition="0"/>
    </format>
    <format dxfId="38">
      <pivotArea collapsedLevelsAreSubtotals="1" fieldPosition="0">
        <references count="1">
          <reference field="3" count="7">
            <x v="0"/>
            <x v="1"/>
            <x v="2"/>
            <x v="3"/>
            <x v="4"/>
            <x v="5"/>
            <x v="6"/>
          </reference>
        </references>
      </pivotArea>
    </format>
  </format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79FE9361-7ACF-4B69-BC22-5F94943449D9}" sourceName="Sales Person">
  <pivotTables>
    <pivotTable tabId="4" name="PivotTable1"/>
    <pivotTable tabId="4" name="PivotTable2"/>
    <pivotTable tabId="4" name="PivotTable3"/>
    <pivotTable tabId="4" name="PivotTable4"/>
  </pivotTables>
  <data>
    <tabular pivotCacheId="314941444">
      <items count="11">
        <i x="0" s="1"/>
        <i x="8" s="1"/>
        <i x="3" s="1"/>
        <i x="5" s="1"/>
        <i x="7" s="1"/>
        <i x="2" s="1"/>
        <i x="1" s="1"/>
        <i x="4" s="1"/>
        <i x="9" s="1"/>
        <i x="6" s="1"/>
        <i x="1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EE6FF5E-ABC7-4A8F-BCFA-89DCF42330ED}" sourceName="Region">
  <pivotTables>
    <pivotTable tabId="4" name="PivotTable1"/>
    <pivotTable tabId="4" name="PivotTable2"/>
    <pivotTable tabId="4" name="PivotTable3"/>
    <pivotTable tabId="4" name="PivotTable4"/>
  </pivotTables>
  <data>
    <tabular pivotCacheId="314941444">
      <items count="5">
        <i x="1" s="1"/>
        <i x="3" s="1"/>
        <i x="2" s="1"/>
        <i x="0"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679B497-4207-4B44-BC93-C52F3F5BA63E}" sourceName="Product">
  <pivotTables>
    <pivotTable tabId="4" name="PivotTable1"/>
    <pivotTable tabId="4" name="PivotTable2"/>
    <pivotTable tabId="4" name="PivotTable3"/>
    <pivotTable tabId="4" name="PivotTable4"/>
  </pivotTables>
  <data>
    <tabular pivotCacheId="314941444">
      <items count="8">
        <i x="2" s="1"/>
        <i x="1" s="1"/>
        <i x="5" s="1"/>
        <i x="3" s="1"/>
        <i x="6" s="1"/>
        <i x="4" s="1"/>
        <i x="0" s="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1" xr10:uid="{337FEBAB-221C-4F02-900C-53B263AA30A5}" cache="Slicer_Sales_Person" caption="Sales Person" startItem="5" rowHeight="247650"/>
  <slicer name="Region 1" xr10:uid="{8A9AB0AF-A464-4934-AD3E-8BC44CBD9062}" cache="Slicer_Region" caption="Region" startItem="1" rowHeight="247650"/>
  <slicer name="Product 1" xr10:uid="{6351545C-A37B-4C7D-9312-ABA95486B7D0}" cache="Slicer_Product" caption="Product" startItem="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A23AD62D-3EAA-497A-9670-357DBC290DC9}" cache="Slicer_Sales_Person" caption="Sales Person" rowHeight="247650"/>
  <slicer name="Region" xr10:uid="{E50D2841-1D71-439A-891D-63221B7698F1}" cache="Slicer_Region" caption="Region" rowHeight="247650"/>
  <slicer name="Product" xr10:uid="{9589C993-86F5-4C91-AA8C-65A34EC168A6}" cache="Slicer_Product" caption="Product" rowHeight="247650"/>
</slicers>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75BF2-ACC2-4944-AAF9-DC3435C73352}">
  <dimension ref="A1"/>
  <sheetViews>
    <sheetView showGridLines="0" tabSelected="1" topLeftCell="A7" workbookViewId="0">
      <selection activeCell="R3" sqref="R3"/>
    </sheetView>
  </sheetViews>
  <sheetFormatPr defaultRowHeight="14.4" x14ac:dyDescent="0.3"/>
  <sheetData/>
  <sheetProtection sheet="1" objects="1" scenarios="1" selectLockedCell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20BA8-AE3B-484B-928D-025FE4373124}">
  <dimension ref="A2:M15"/>
  <sheetViews>
    <sheetView topLeftCell="A4" workbookViewId="0">
      <selection activeCell="A3" sqref="A3:B8"/>
    </sheetView>
  </sheetViews>
  <sheetFormatPr defaultRowHeight="14.4" x14ac:dyDescent="0.3"/>
  <cols>
    <col min="1" max="1" width="13.109375" bestFit="1" customWidth="1"/>
    <col min="2" max="2" width="16.77734375" bestFit="1" customWidth="1"/>
    <col min="4" max="5" width="12.44140625" bestFit="1" customWidth="1"/>
    <col min="6" max="6" width="16.109375" bestFit="1" customWidth="1"/>
    <col min="8" max="8" width="12.44140625" bestFit="1" customWidth="1"/>
    <col min="9" max="9" width="15.5546875" bestFit="1" customWidth="1"/>
    <col min="11" max="12" width="12.44140625" bestFit="1" customWidth="1"/>
    <col min="13" max="13" width="16.109375" bestFit="1" customWidth="1"/>
    <col min="14" max="14" width="5.77734375" bestFit="1" customWidth="1"/>
    <col min="15" max="15" width="9.21875" bestFit="1" customWidth="1"/>
    <col min="16" max="16" width="8" bestFit="1" customWidth="1"/>
    <col min="17" max="17" width="7.5546875" bestFit="1" customWidth="1"/>
    <col min="18" max="18" width="6.44140625" bestFit="1" customWidth="1"/>
    <col min="19" max="19" width="6.6640625" bestFit="1" customWidth="1"/>
    <col min="20" max="20" width="7" bestFit="1" customWidth="1"/>
    <col min="21" max="21" width="9" bestFit="1" customWidth="1"/>
    <col min="22" max="22" width="7.33203125" bestFit="1" customWidth="1"/>
    <col min="23" max="23" width="10.5546875" bestFit="1" customWidth="1"/>
  </cols>
  <sheetData>
    <row r="2" spans="1:13" x14ac:dyDescent="0.3">
      <c r="E2" s="9" t="s">
        <v>34</v>
      </c>
      <c r="F2" t="s">
        <v>37</v>
      </c>
      <c r="H2" s="9" t="s">
        <v>34</v>
      </c>
      <c r="I2" t="s">
        <v>38</v>
      </c>
    </row>
    <row r="3" spans="1:13" x14ac:dyDescent="0.3">
      <c r="A3" s="10" t="s">
        <v>34</v>
      </c>
      <c r="B3" s="11" t="s">
        <v>37</v>
      </c>
      <c r="E3" s="12" t="s">
        <v>16</v>
      </c>
      <c r="F3" s="13">
        <v>547200</v>
      </c>
      <c r="H3" s="3" t="s">
        <v>16</v>
      </c>
      <c r="I3" s="14">
        <v>456</v>
      </c>
      <c r="L3" s="9" t="s">
        <v>34</v>
      </c>
      <c r="M3" t="s">
        <v>37</v>
      </c>
    </row>
    <row r="4" spans="1:13" x14ac:dyDescent="0.3">
      <c r="A4" s="12" t="s">
        <v>12</v>
      </c>
      <c r="B4" s="13">
        <v>3534400</v>
      </c>
      <c r="E4" s="12" t="s">
        <v>13</v>
      </c>
      <c r="F4" s="13">
        <v>2222500</v>
      </c>
      <c r="H4" s="3" t="s">
        <v>13</v>
      </c>
      <c r="I4" s="14">
        <v>635</v>
      </c>
      <c r="L4" s="12" t="s">
        <v>8</v>
      </c>
      <c r="M4" s="13">
        <v>1591600</v>
      </c>
    </row>
    <row r="5" spans="1:13" x14ac:dyDescent="0.3">
      <c r="A5" s="12" t="s">
        <v>18</v>
      </c>
      <c r="B5" s="13">
        <v>2661400</v>
      </c>
      <c r="E5" s="12" t="s">
        <v>26</v>
      </c>
      <c r="F5" s="13">
        <v>706800</v>
      </c>
      <c r="H5" s="3" t="s">
        <v>26</v>
      </c>
      <c r="I5" s="14">
        <v>1178</v>
      </c>
      <c r="L5" s="12" t="s">
        <v>25</v>
      </c>
      <c r="M5" s="13">
        <v>677600</v>
      </c>
    </row>
    <row r="6" spans="1:13" x14ac:dyDescent="0.3">
      <c r="A6" s="12" t="s">
        <v>15</v>
      </c>
      <c r="B6" s="13">
        <v>2870600</v>
      </c>
      <c r="E6" s="12" t="s">
        <v>19</v>
      </c>
      <c r="F6" s="13">
        <v>898000</v>
      </c>
      <c r="H6" s="3" t="s">
        <v>19</v>
      </c>
      <c r="I6" s="14">
        <v>898</v>
      </c>
      <c r="L6" s="12" t="s">
        <v>17</v>
      </c>
      <c r="M6" s="13">
        <v>1957000</v>
      </c>
    </row>
    <row r="7" spans="1:13" x14ac:dyDescent="0.3">
      <c r="A7" s="12" t="s">
        <v>9</v>
      </c>
      <c r="B7" s="13">
        <v>3878100</v>
      </c>
      <c r="E7" s="12" t="s">
        <v>28</v>
      </c>
      <c r="F7" s="13">
        <v>2350000</v>
      </c>
      <c r="H7" s="3" t="s">
        <v>28</v>
      </c>
      <c r="I7" s="14">
        <v>235</v>
      </c>
      <c r="L7" s="12" t="s">
        <v>22</v>
      </c>
      <c r="M7" s="13">
        <v>1661400</v>
      </c>
    </row>
    <row r="8" spans="1:13" x14ac:dyDescent="0.3">
      <c r="A8" s="12" t="s">
        <v>35</v>
      </c>
      <c r="B8" s="11"/>
      <c r="E8" s="12" t="s">
        <v>21</v>
      </c>
      <c r="F8" s="13">
        <v>3196000</v>
      </c>
      <c r="H8" s="3" t="s">
        <v>21</v>
      </c>
      <c r="I8" s="14">
        <v>799</v>
      </c>
      <c r="L8" s="12" t="s">
        <v>24</v>
      </c>
      <c r="M8" s="13">
        <v>1741200</v>
      </c>
    </row>
    <row r="9" spans="1:13" x14ac:dyDescent="0.3">
      <c r="A9" s="3" t="s">
        <v>36</v>
      </c>
      <c r="B9" s="14">
        <v>12944500</v>
      </c>
      <c r="E9" s="12" t="s">
        <v>10</v>
      </c>
      <c r="F9" s="13">
        <v>3024000</v>
      </c>
      <c r="H9" s="3" t="s">
        <v>10</v>
      </c>
      <c r="I9" s="14">
        <v>504</v>
      </c>
      <c r="L9" s="12" t="s">
        <v>14</v>
      </c>
      <c r="M9" s="13">
        <v>1110000</v>
      </c>
    </row>
    <row r="10" spans="1:13" x14ac:dyDescent="0.3">
      <c r="E10" s="12" t="s">
        <v>35</v>
      </c>
      <c r="F10" s="11"/>
      <c r="H10" s="3" t="s">
        <v>35</v>
      </c>
      <c r="I10" s="14"/>
      <c r="L10" s="12" t="s">
        <v>11</v>
      </c>
      <c r="M10" s="13">
        <v>1777400</v>
      </c>
    </row>
    <row r="11" spans="1:13" x14ac:dyDescent="0.3">
      <c r="E11" s="12" t="s">
        <v>36</v>
      </c>
      <c r="F11" s="11">
        <v>12944500</v>
      </c>
      <c r="H11" s="3" t="s">
        <v>36</v>
      </c>
      <c r="I11" s="14">
        <v>4705</v>
      </c>
      <c r="L11" s="12" t="s">
        <v>20</v>
      </c>
      <c r="M11" s="13">
        <v>1065400</v>
      </c>
    </row>
    <row r="12" spans="1:13" x14ac:dyDescent="0.3">
      <c r="L12" s="12" t="s">
        <v>27</v>
      </c>
      <c r="M12" s="13">
        <v>784400</v>
      </c>
    </row>
    <row r="13" spans="1:13" x14ac:dyDescent="0.3">
      <c r="L13" s="3" t="s">
        <v>23</v>
      </c>
      <c r="M13" s="13">
        <v>578500</v>
      </c>
    </row>
    <row r="14" spans="1:13" x14ac:dyDescent="0.3">
      <c r="L14" s="3" t="s">
        <v>35</v>
      </c>
      <c r="M14" s="14"/>
    </row>
    <row r="15" spans="1:13" x14ac:dyDescent="0.3">
      <c r="L15" s="3" t="s">
        <v>36</v>
      </c>
      <c r="M15" s="13">
        <v>12944500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CB3DF-9E1D-4E87-B39C-21F41FB7A8AD}">
  <dimension ref="A1:J52"/>
  <sheetViews>
    <sheetView workbookViewId="0">
      <selection activeCell="H2" sqref="H2"/>
    </sheetView>
  </sheetViews>
  <sheetFormatPr defaultRowHeight="14.4" x14ac:dyDescent="0.3"/>
  <cols>
    <col min="1" max="1" width="12.88671875" customWidth="1"/>
    <col min="2" max="2" width="11.33203125" customWidth="1"/>
    <col min="4" max="4" width="15.6640625" customWidth="1"/>
    <col min="6" max="6" width="10.109375" customWidth="1"/>
    <col min="7" max="7" width="13.21875" customWidth="1"/>
    <col min="8" max="9" width="13.5546875" customWidth="1"/>
    <col min="10" max="10" width="14.33203125" bestFit="1" customWidth="1"/>
    <col min="11" max="11" width="14.21875" customWidth="1"/>
  </cols>
  <sheetData>
    <row r="1" spans="1:10" ht="20.100000000000001" customHeight="1" thickBot="1" x14ac:dyDescent="0.35">
      <c r="A1" s="1" t="s">
        <v>0</v>
      </c>
      <c r="B1" s="1" t="s">
        <v>1</v>
      </c>
      <c r="C1" s="1" t="s">
        <v>2</v>
      </c>
      <c r="D1" s="1" t="s">
        <v>3</v>
      </c>
      <c r="E1" s="1" t="s">
        <v>4</v>
      </c>
      <c r="F1" s="1" t="s">
        <v>5</v>
      </c>
      <c r="G1" s="1" t="s">
        <v>6</v>
      </c>
      <c r="H1" s="1" t="s">
        <v>7</v>
      </c>
      <c r="I1" s="8" t="s">
        <v>32</v>
      </c>
    </row>
    <row r="2" spans="1:10" ht="15" thickTop="1" x14ac:dyDescent="0.3">
      <c r="A2" s="2">
        <v>44246</v>
      </c>
      <c r="B2" t="s">
        <v>8</v>
      </c>
      <c r="C2" t="s">
        <v>9</v>
      </c>
      <c r="D2" t="s">
        <v>10</v>
      </c>
      <c r="E2" s="3">
        <v>84</v>
      </c>
      <c r="F2" s="4">
        <f t="shared" ref="F2:F33" si="0">IF(D2="Tent",6000,IF(D2="Blender",3500,IF(D2="Action Figure",1200,IF(D2="Novel",1000,IF(D2="Sneakers",4000,IF(D2="Smartphone",10000,IF(D2="moisturizer",600,"No Product Found")))))))</f>
        <v>6000</v>
      </c>
      <c r="G2" s="4">
        <f t="shared" ref="G2:G33" si="1">IF(D2="Tent",4000,IF(D2="Blender",2500,IF(D2="Action Figure",800,IF(D2="Novel",700,IF(D2="Sneakers",3000,IF(D2="Smartphone",7000,IF(D2="moisturizer",400,"No Product Found")))))))</f>
        <v>4000</v>
      </c>
      <c r="H2" s="4">
        <f t="shared" ref="H2:H33" si="2">F2*E2</f>
        <v>504000</v>
      </c>
      <c r="I2" s="5">
        <f t="shared" ref="I2:I33" si="3">H2-(G2*E2)</f>
        <v>168000</v>
      </c>
    </row>
    <row r="3" spans="1:10" x14ac:dyDescent="0.3">
      <c r="A3" s="2">
        <v>44446</v>
      </c>
      <c r="B3" t="s">
        <v>11</v>
      </c>
      <c r="C3" t="s">
        <v>12</v>
      </c>
      <c r="D3" t="s">
        <v>13</v>
      </c>
      <c r="E3" s="3">
        <v>128</v>
      </c>
      <c r="F3" s="4">
        <f t="shared" si="0"/>
        <v>3500</v>
      </c>
      <c r="G3" s="4">
        <f t="shared" si="1"/>
        <v>2500</v>
      </c>
      <c r="H3" s="4">
        <f t="shared" si="2"/>
        <v>448000</v>
      </c>
      <c r="I3" s="5">
        <f t="shared" si="3"/>
        <v>128000</v>
      </c>
    </row>
    <row r="4" spans="1:10" x14ac:dyDescent="0.3">
      <c r="A4" s="2">
        <v>44230</v>
      </c>
      <c r="B4" t="s">
        <v>14</v>
      </c>
      <c r="C4" t="s">
        <v>15</v>
      </c>
      <c r="D4" t="s">
        <v>16</v>
      </c>
      <c r="E4" s="3">
        <v>136</v>
      </c>
      <c r="F4" s="4">
        <f t="shared" si="0"/>
        <v>1200</v>
      </c>
      <c r="G4" s="4">
        <f t="shared" si="1"/>
        <v>800</v>
      </c>
      <c r="H4" s="4">
        <f t="shared" si="2"/>
        <v>163200</v>
      </c>
      <c r="I4" s="5">
        <f t="shared" si="3"/>
        <v>54400</v>
      </c>
      <c r="J4" s="6" t="s">
        <v>29</v>
      </c>
    </row>
    <row r="5" spans="1:10" x14ac:dyDescent="0.3">
      <c r="A5" s="2">
        <v>44085</v>
      </c>
      <c r="B5" t="s">
        <v>17</v>
      </c>
      <c r="C5" t="s">
        <v>18</v>
      </c>
      <c r="D5" t="s">
        <v>19</v>
      </c>
      <c r="E5" s="3">
        <v>91</v>
      </c>
      <c r="F5" s="4">
        <f t="shared" si="0"/>
        <v>1000</v>
      </c>
      <c r="G5" s="4">
        <f t="shared" si="1"/>
        <v>700</v>
      </c>
      <c r="H5" s="4">
        <f t="shared" si="2"/>
        <v>91000</v>
      </c>
      <c r="I5" s="5">
        <f t="shared" si="3"/>
        <v>27300</v>
      </c>
      <c r="J5" s="7">
        <f>SUM(H2:H51)</f>
        <v>12944500</v>
      </c>
    </row>
    <row r="6" spans="1:10" x14ac:dyDescent="0.3">
      <c r="A6" s="2">
        <v>44462</v>
      </c>
      <c r="B6" t="s">
        <v>20</v>
      </c>
      <c r="C6" t="s">
        <v>9</v>
      </c>
      <c r="D6" t="s">
        <v>21</v>
      </c>
      <c r="E6" s="3">
        <v>110</v>
      </c>
      <c r="F6" s="4">
        <f t="shared" si="0"/>
        <v>4000</v>
      </c>
      <c r="G6" s="4">
        <f t="shared" si="1"/>
        <v>3000</v>
      </c>
      <c r="H6" s="4">
        <f t="shared" si="2"/>
        <v>440000</v>
      </c>
      <c r="I6" s="5">
        <f t="shared" si="3"/>
        <v>110000</v>
      </c>
    </row>
    <row r="7" spans="1:10" x14ac:dyDescent="0.3">
      <c r="A7" s="2">
        <v>44105</v>
      </c>
      <c r="B7" t="s">
        <v>22</v>
      </c>
      <c r="C7" t="s">
        <v>12</v>
      </c>
      <c r="D7" t="s">
        <v>16</v>
      </c>
      <c r="E7" s="3">
        <v>51</v>
      </c>
      <c r="F7" s="4">
        <f t="shared" si="0"/>
        <v>1200</v>
      </c>
      <c r="G7" s="4">
        <f t="shared" si="1"/>
        <v>800</v>
      </c>
      <c r="H7" s="4">
        <f t="shared" si="2"/>
        <v>61200</v>
      </c>
      <c r="I7" s="5">
        <f t="shared" si="3"/>
        <v>20400</v>
      </c>
      <c r="J7" s="6" t="s">
        <v>30</v>
      </c>
    </row>
    <row r="8" spans="1:10" x14ac:dyDescent="0.3">
      <c r="A8" s="2">
        <v>44413</v>
      </c>
      <c r="B8" t="s">
        <v>23</v>
      </c>
      <c r="C8" t="s">
        <v>18</v>
      </c>
      <c r="D8" t="s">
        <v>19</v>
      </c>
      <c r="E8" s="3">
        <v>78</v>
      </c>
      <c r="F8" s="4">
        <f t="shared" si="0"/>
        <v>1000</v>
      </c>
      <c r="G8" s="4">
        <f t="shared" si="1"/>
        <v>700</v>
      </c>
      <c r="H8" s="4">
        <f t="shared" si="2"/>
        <v>78000</v>
      </c>
      <c r="I8" s="5">
        <f t="shared" si="3"/>
        <v>23400</v>
      </c>
      <c r="J8" s="6">
        <f>AVERAGE(H2:H51)</f>
        <v>258890</v>
      </c>
    </row>
    <row r="9" spans="1:10" x14ac:dyDescent="0.3">
      <c r="A9" s="2">
        <v>44141</v>
      </c>
      <c r="B9" t="s">
        <v>24</v>
      </c>
      <c r="C9" t="s">
        <v>15</v>
      </c>
      <c r="D9" t="s">
        <v>10</v>
      </c>
      <c r="E9" s="3">
        <v>146</v>
      </c>
      <c r="F9" s="4">
        <f t="shared" si="0"/>
        <v>6000</v>
      </c>
      <c r="G9" s="4">
        <f t="shared" si="1"/>
        <v>4000</v>
      </c>
      <c r="H9" s="4">
        <f t="shared" si="2"/>
        <v>876000</v>
      </c>
      <c r="I9" s="5">
        <f t="shared" si="3"/>
        <v>292000</v>
      </c>
    </row>
    <row r="10" spans="1:10" x14ac:dyDescent="0.3">
      <c r="A10" s="2">
        <v>44223</v>
      </c>
      <c r="B10" t="s">
        <v>25</v>
      </c>
      <c r="C10" t="s">
        <v>9</v>
      </c>
      <c r="D10" t="s">
        <v>26</v>
      </c>
      <c r="E10" s="3">
        <v>101</v>
      </c>
      <c r="F10" s="4">
        <f t="shared" si="0"/>
        <v>600</v>
      </c>
      <c r="G10" s="4">
        <f t="shared" si="1"/>
        <v>400</v>
      </c>
      <c r="H10" s="4">
        <f t="shared" si="2"/>
        <v>60600</v>
      </c>
      <c r="I10" s="5">
        <f t="shared" si="3"/>
        <v>20200</v>
      </c>
      <c r="J10" s="6" t="s">
        <v>31</v>
      </c>
    </row>
    <row r="11" spans="1:10" x14ac:dyDescent="0.3">
      <c r="A11" s="2">
        <v>44442</v>
      </c>
      <c r="B11" t="s">
        <v>27</v>
      </c>
      <c r="C11" t="s">
        <v>15</v>
      </c>
      <c r="D11" t="s">
        <v>10</v>
      </c>
      <c r="E11" s="3">
        <v>52</v>
      </c>
      <c r="F11" s="4">
        <f t="shared" si="0"/>
        <v>6000</v>
      </c>
      <c r="G11" s="4">
        <f t="shared" si="1"/>
        <v>4000</v>
      </c>
      <c r="H11" s="4">
        <f t="shared" si="2"/>
        <v>312000</v>
      </c>
      <c r="I11" s="5">
        <f t="shared" si="3"/>
        <v>104000</v>
      </c>
      <c r="J11" s="6">
        <f>SUM(E2:E51)</f>
        <v>4705</v>
      </c>
    </row>
    <row r="12" spans="1:10" x14ac:dyDescent="0.3">
      <c r="A12" s="2">
        <v>44469</v>
      </c>
      <c r="B12" t="s">
        <v>27</v>
      </c>
      <c r="C12" t="s">
        <v>12</v>
      </c>
      <c r="D12" t="s">
        <v>16</v>
      </c>
      <c r="E12" s="3">
        <v>55</v>
      </c>
      <c r="F12" s="4">
        <f t="shared" si="0"/>
        <v>1200</v>
      </c>
      <c r="G12" s="4">
        <f t="shared" si="1"/>
        <v>800</v>
      </c>
      <c r="H12" s="4">
        <f t="shared" si="2"/>
        <v>66000</v>
      </c>
      <c r="I12" s="5">
        <f t="shared" si="3"/>
        <v>22000</v>
      </c>
    </row>
    <row r="13" spans="1:10" x14ac:dyDescent="0.3">
      <c r="A13" s="2">
        <v>44084</v>
      </c>
      <c r="B13" t="s">
        <v>27</v>
      </c>
      <c r="C13" t="s">
        <v>15</v>
      </c>
      <c r="D13" t="s">
        <v>19</v>
      </c>
      <c r="E13" s="3">
        <v>137</v>
      </c>
      <c r="F13" s="4">
        <f t="shared" si="0"/>
        <v>1000</v>
      </c>
      <c r="G13" s="4">
        <f t="shared" si="1"/>
        <v>700</v>
      </c>
      <c r="H13" s="4">
        <f t="shared" si="2"/>
        <v>137000</v>
      </c>
      <c r="I13" s="5">
        <f t="shared" si="3"/>
        <v>41100</v>
      </c>
      <c r="J13" s="6" t="s">
        <v>33</v>
      </c>
    </row>
    <row r="14" spans="1:10" x14ac:dyDescent="0.3">
      <c r="A14" s="2">
        <v>44404</v>
      </c>
      <c r="B14" t="s">
        <v>24</v>
      </c>
      <c r="C14" t="s">
        <v>15</v>
      </c>
      <c r="D14" t="s">
        <v>13</v>
      </c>
      <c r="E14" s="3">
        <v>96</v>
      </c>
      <c r="F14" s="4">
        <f t="shared" si="0"/>
        <v>3500</v>
      </c>
      <c r="G14" s="4">
        <f t="shared" si="1"/>
        <v>2500</v>
      </c>
      <c r="H14" s="4">
        <f t="shared" si="2"/>
        <v>336000</v>
      </c>
      <c r="I14" s="5">
        <f t="shared" si="3"/>
        <v>96000</v>
      </c>
      <c r="J14" s="7">
        <f>SUM(I2:I51)</f>
        <v>3834400</v>
      </c>
    </row>
    <row r="15" spans="1:10" x14ac:dyDescent="0.3">
      <c r="A15" s="2">
        <v>44113</v>
      </c>
      <c r="B15" t="s">
        <v>25</v>
      </c>
      <c r="C15" t="s">
        <v>12</v>
      </c>
      <c r="D15" t="s">
        <v>21</v>
      </c>
      <c r="E15" s="3">
        <v>52</v>
      </c>
      <c r="F15" s="4">
        <f t="shared" si="0"/>
        <v>4000</v>
      </c>
      <c r="G15" s="4">
        <f t="shared" si="1"/>
        <v>3000</v>
      </c>
      <c r="H15" s="4">
        <f t="shared" si="2"/>
        <v>208000</v>
      </c>
      <c r="I15" s="5">
        <f t="shared" si="3"/>
        <v>52000</v>
      </c>
    </row>
    <row r="16" spans="1:10" x14ac:dyDescent="0.3">
      <c r="A16" s="2">
        <v>44292</v>
      </c>
      <c r="B16" t="s">
        <v>17</v>
      </c>
      <c r="C16" t="s">
        <v>9</v>
      </c>
      <c r="D16" t="s">
        <v>13</v>
      </c>
      <c r="E16" s="3">
        <v>76</v>
      </c>
      <c r="F16" s="4">
        <f t="shared" si="0"/>
        <v>3500</v>
      </c>
      <c r="G16" s="4">
        <f t="shared" si="1"/>
        <v>2500</v>
      </c>
      <c r="H16" s="4">
        <f t="shared" si="2"/>
        <v>266000</v>
      </c>
      <c r="I16" s="5">
        <f t="shared" si="3"/>
        <v>76000</v>
      </c>
    </row>
    <row r="17" spans="1:9" x14ac:dyDescent="0.3">
      <c r="A17" s="2">
        <v>44362</v>
      </c>
      <c r="B17" t="s">
        <v>11</v>
      </c>
      <c r="C17" t="s">
        <v>18</v>
      </c>
      <c r="D17" t="s">
        <v>21</v>
      </c>
      <c r="E17" s="3">
        <v>145</v>
      </c>
      <c r="F17" s="4">
        <f t="shared" si="0"/>
        <v>4000</v>
      </c>
      <c r="G17" s="4">
        <f t="shared" si="1"/>
        <v>3000</v>
      </c>
      <c r="H17" s="4">
        <f t="shared" si="2"/>
        <v>580000</v>
      </c>
      <c r="I17" s="5">
        <f t="shared" si="3"/>
        <v>145000</v>
      </c>
    </row>
    <row r="18" spans="1:9" x14ac:dyDescent="0.3">
      <c r="A18" s="2">
        <v>44083</v>
      </c>
      <c r="B18" t="s">
        <v>8</v>
      </c>
      <c r="C18" t="s">
        <v>15</v>
      </c>
      <c r="D18" t="s">
        <v>26</v>
      </c>
      <c r="E18" s="3">
        <v>83</v>
      </c>
      <c r="F18" s="4">
        <f t="shared" si="0"/>
        <v>600</v>
      </c>
      <c r="G18" s="4">
        <f t="shared" si="1"/>
        <v>400</v>
      </c>
      <c r="H18" s="4">
        <f t="shared" si="2"/>
        <v>49800</v>
      </c>
      <c r="I18" s="5">
        <f t="shared" si="3"/>
        <v>16600</v>
      </c>
    </row>
    <row r="19" spans="1:9" x14ac:dyDescent="0.3">
      <c r="A19" s="2">
        <v>44421</v>
      </c>
      <c r="B19" t="s">
        <v>20</v>
      </c>
      <c r="C19" t="s">
        <v>15</v>
      </c>
      <c r="D19" t="s">
        <v>19</v>
      </c>
      <c r="E19" s="3">
        <v>91</v>
      </c>
      <c r="F19" s="4">
        <f t="shared" si="0"/>
        <v>1000</v>
      </c>
      <c r="G19" s="4">
        <f t="shared" si="1"/>
        <v>700</v>
      </c>
      <c r="H19" s="4">
        <f t="shared" si="2"/>
        <v>91000</v>
      </c>
      <c r="I19" s="5">
        <f t="shared" si="3"/>
        <v>27300</v>
      </c>
    </row>
    <row r="20" spans="1:9" x14ac:dyDescent="0.3">
      <c r="A20" s="2">
        <v>44070</v>
      </c>
      <c r="B20" t="s">
        <v>22</v>
      </c>
      <c r="C20" t="s">
        <v>9</v>
      </c>
      <c r="D20" t="s">
        <v>28</v>
      </c>
      <c r="E20" s="3">
        <v>108</v>
      </c>
      <c r="F20" s="4">
        <f t="shared" si="0"/>
        <v>10000</v>
      </c>
      <c r="G20" s="4">
        <f t="shared" si="1"/>
        <v>7000</v>
      </c>
      <c r="H20" s="4">
        <f t="shared" si="2"/>
        <v>1080000</v>
      </c>
      <c r="I20" s="5">
        <f t="shared" si="3"/>
        <v>324000</v>
      </c>
    </row>
    <row r="21" spans="1:9" x14ac:dyDescent="0.3">
      <c r="A21" s="2">
        <v>44293</v>
      </c>
      <c r="B21" t="s">
        <v>14</v>
      </c>
      <c r="C21" t="s">
        <v>18</v>
      </c>
      <c r="D21" t="s">
        <v>21</v>
      </c>
      <c r="E21" s="3">
        <v>144</v>
      </c>
      <c r="F21" s="4">
        <f t="shared" si="0"/>
        <v>4000</v>
      </c>
      <c r="G21" s="4">
        <f t="shared" si="1"/>
        <v>3000</v>
      </c>
      <c r="H21" s="4">
        <f t="shared" si="2"/>
        <v>576000</v>
      </c>
      <c r="I21" s="5">
        <f t="shared" si="3"/>
        <v>144000</v>
      </c>
    </row>
    <row r="22" spans="1:9" x14ac:dyDescent="0.3">
      <c r="A22" s="2">
        <v>43990</v>
      </c>
      <c r="B22" t="s">
        <v>20</v>
      </c>
      <c r="C22" t="s">
        <v>15</v>
      </c>
      <c r="D22" t="s">
        <v>26</v>
      </c>
      <c r="E22" s="3">
        <v>92</v>
      </c>
      <c r="F22" s="4">
        <f t="shared" si="0"/>
        <v>600</v>
      </c>
      <c r="G22" s="4">
        <f t="shared" si="1"/>
        <v>400</v>
      </c>
      <c r="H22" s="4">
        <f t="shared" si="2"/>
        <v>55200</v>
      </c>
      <c r="I22" s="5">
        <f t="shared" si="3"/>
        <v>18400</v>
      </c>
    </row>
    <row r="23" spans="1:9" x14ac:dyDescent="0.3">
      <c r="A23" s="2">
        <v>44551</v>
      </c>
      <c r="B23" t="s">
        <v>24</v>
      </c>
      <c r="C23" t="s">
        <v>9</v>
      </c>
      <c r="D23" t="s">
        <v>10</v>
      </c>
      <c r="E23" s="3">
        <v>71</v>
      </c>
      <c r="F23" s="4">
        <f t="shared" si="0"/>
        <v>6000</v>
      </c>
      <c r="G23" s="4">
        <f t="shared" si="1"/>
        <v>4000</v>
      </c>
      <c r="H23" s="4">
        <f t="shared" si="2"/>
        <v>426000</v>
      </c>
      <c r="I23" s="5">
        <f t="shared" si="3"/>
        <v>142000</v>
      </c>
    </row>
    <row r="24" spans="1:9" x14ac:dyDescent="0.3">
      <c r="A24" s="2">
        <v>44418</v>
      </c>
      <c r="B24" t="s">
        <v>8</v>
      </c>
      <c r="C24" t="s">
        <v>12</v>
      </c>
      <c r="D24" t="s">
        <v>26</v>
      </c>
      <c r="E24" s="3">
        <v>103</v>
      </c>
      <c r="F24" s="4">
        <f t="shared" si="0"/>
        <v>600</v>
      </c>
      <c r="G24" s="4">
        <f t="shared" si="1"/>
        <v>400</v>
      </c>
      <c r="H24" s="4">
        <f t="shared" si="2"/>
        <v>61800</v>
      </c>
      <c r="I24" s="5">
        <f t="shared" si="3"/>
        <v>20600</v>
      </c>
    </row>
    <row r="25" spans="1:9" x14ac:dyDescent="0.3">
      <c r="A25" s="2">
        <v>44532</v>
      </c>
      <c r="B25" t="s">
        <v>27</v>
      </c>
      <c r="C25" t="s">
        <v>18</v>
      </c>
      <c r="D25" t="s">
        <v>19</v>
      </c>
      <c r="E25" s="3">
        <v>55</v>
      </c>
      <c r="F25" s="4">
        <f t="shared" si="0"/>
        <v>1000</v>
      </c>
      <c r="G25" s="4">
        <f t="shared" si="1"/>
        <v>700</v>
      </c>
      <c r="H25" s="4">
        <f t="shared" si="2"/>
        <v>55000</v>
      </c>
      <c r="I25" s="5">
        <f t="shared" si="3"/>
        <v>16500</v>
      </c>
    </row>
    <row r="26" spans="1:9" x14ac:dyDescent="0.3">
      <c r="A26" s="2">
        <v>44438</v>
      </c>
      <c r="B26" t="s">
        <v>22</v>
      </c>
      <c r="C26" t="s">
        <v>12</v>
      </c>
      <c r="D26" t="s">
        <v>21</v>
      </c>
      <c r="E26" s="3">
        <v>93</v>
      </c>
      <c r="F26" s="4">
        <f t="shared" si="0"/>
        <v>4000</v>
      </c>
      <c r="G26" s="4">
        <f t="shared" si="1"/>
        <v>3000</v>
      </c>
      <c r="H26" s="4">
        <f t="shared" si="2"/>
        <v>372000</v>
      </c>
      <c r="I26" s="5">
        <f t="shared" si="3"/>
        <v>93000</v>
      </c>
    </row>
    <row r="27" spans="1:9" x14ac:dyDescent="0.3">
      <c r="A27" s="2">
        <v>43971</v>
      </c>
      <c r="B27" t="s">
        <v>14</v>
      </c>
      <c r="C27" t="s">
        <v>15</v>
      </c>
      <c r="D27" t="s">
        <v>26</v>
      </c>
      <c r="E27" s="3">
        <v>143</v>
      </c>
      <c r="F27" s="4">
        <f t="shared" si="0"/>
        <v>600</v>
      </c>
      <c r="G27" s="4">
        <f t="shared" si="1"/>
        <v>400</v>
      </c>
      <c r="H27" s="4">
        <f t="shared" si="2"/>
        <v>85800</v>
      </c>
      <c r="I27" s="5">
        <f t="shared" si="3"/>
        <v>28600</v>
      </c>
    </row>
    <row r="28" spans="1:9" x14ac:dyDescent="0.3">
      <c r="A28" s="2">
        <v>44452</v>
      </c>
      <c r="B28" t="s">
        <v>23</v>
      </c>
      <c r="C28" t="s">
        <v>9</v>
      </c>
      <c r="D28" t="s">
        <v>13</v>
      </c>
      <c r="E28" s="3">
        <v>143</v>
      </c>
      <c r="F28" s="4">
        <f t="shared" si="0"/>
        <v>3500</v>
      </c>
      <c r="G28" s="4">
        <f t="shared" si="1"/>
        <v>2500</v>
      </c>
      <c r="H28" s="4">
        <f t="shared" si="2"/>
        <v>500500</v>
      </c>
      <c r="I28" s="5">
        <f t="shared" si="3"/>
        <v>143000</v>
      </c>
    </row>
    <row r="29" spans="1:9" x14ac:dyDescent="0.3">
      <c r="A29" s="2">
        <v>44496</v>
      </c>
      <c r="B29" t="s">
        <v>25</v>
      </c>
      <c r="C29" t="s">
        <v>18</v>
      </c>
      <c r="D29" t="s">
        <v>26</v>
      </c>
      <c r="E29" s="3">
        <v>99</v>
      </c>
      <c r="F29" s="4">
        <f t="shared" si="0"/>
        <v>600</v>
      </c>
      <c r="G29" s="4">
        <f t="shared" si="1"/>
        <v>400</v>
      </c>
      <c r="H29" s="4">
        <f t="shared" si="2"/>
        <v>59400</v>
      </c>
      <c r="I29" s="5">
        <f t="shared" si="3"/>
        <v>19800</v>
      </c>
    </row>
    <row r="30" spans="1:9" x14ac:dyDescent="0.3">
      <c r="A30" s="2">
        <v>44187</v>
      </c>
      <c r="B30" t="s">
        <v>17</v>
      </c>
      <c r="C30" t="s">
        <v>9</v>
      </c>
      <c r="D30" t="s">
        <v>19</v>
      </c>
      <c r="E30" s="3">
        <v>120</v>
      </c>
      <c r="F30" s="4">
        <f t="shared" si="0"/>
        <v>1000</v>
      </c>
      <c r="G30" s="4">
        <f t="shared" si="1"/>
        <v>700</v>
      </c>
      <c r="H30" s="4">
        <f t="shared" si="2"/>
        <v>120000</v>
      </c>
      <c r="I30" s="5">
        <f t="shared" si="3"/>
        <v>36000</v>
      </c>
    </row>
    <row r="31" spans="1:9" x14ac:dyDescent="0.3">
      <c r="A31" s="2">
        <v>44405</v>
      </c>
      <c r="B31" t="s">
        <v>11</v>
      </c>
      <c r="C31" t="s">
        <v>15</v>
      </c>
      <c r="D31" t="s">
        <v>13</v>
      </c>
      <c r="E31" s="3">
        <v>66</v>
      </c>
      <c r="F31" s="4">
        <f t="shared" si="0"/>
        <v>3500</v>
      </c>
      <c r="G31" s="4">
        <f t="shared" si="1"/>
        <v>2500</v>
      </c>
      <c r="H31" s="4">
        <f t="shared" si="2"/>
        <v>231000</v>
      </c>
      <c r="I31" s="5">
        <f t="shared" si="3"/>
        <v>66000</v>
      </c>
    </row>
    <row r="32" spans="1:9" x14ac:dyDescent="0.3">
      <c r="A32" s="2">
        <v>44103</v>
      </c>
      <c r="B32" t="s">
        <v>25</v>
      </c>
      <c r="C32" t="s">
        <v>18</v>
      </c>
      <c r="D32" t="s">
        <v>16</v>
      </c>
      <c r="E32" s="3">
        <v>88</v>
      </c>
      <c r="F32" s="4">
        <f t="shared" si="0"/>
        <v>1200</v>
      </c>
      <c r="G32" s="4">
        <f t="shared" si="1"/>
        <v>800</v>
      </c>
      <c r="H32" s="4">
        <f t="shared" si="2"/>
        <v>105600</v>
      </c>
      <c r="I32" s="5">
        <f t="shared" si="3"/>
        <v>35200</v>
      </c>
    </row>
    <row r="33" spans="1:9" x14ac:dyDescent="0.3">
      <c r="A33" s="2">
        <v>44126</v>
      </c>
      <c r="B33" t="s">
        <v>17</v>
      </c>
      <c r="C33" t="s">
        <v>12</v>
      </c>
      <c r="D33" t="s">
        <v>28</v>
      </c>
      <c r="E33" s="3">
        <v>127</v>
      </c>
      <c r="F33" s="4">
        <f t="shared" si="0"/>
        <v>10000</v>
      </c>
      <c r="G33" s="4">
        <f t="shared" si="1"/>
        <v>7000</v>
      </c>
      <c r="H33" s="4">
        <f t="shared" si="2"/>
        <v>1270000</v>
      </c>
      <c r="I33" s="5">
        <f t="shared" si="3"/>
        <v>381000</v>
      </c>
    </row>
    <row r="34" spans="1:9" x14ac:dyDescent="0.3">
      <c r="A34" s="2">
        <v>43970</v>
      </c>
      <c r="B34" t="s">
        <v>20</v>
      </c>
      <c r="C34" t="s">
        <v>9</v>
      </c>
      <c r="D34" t="s">
        <v>21</v>
      </c>
      <c r="E34" s="3">
        <v>67</v>
      </c>
      <c r="F34" s="4">
        <f t="shared" ref="F34:F51" si="4">IF(D34="Tent",6000,IF(D34="Blender",3500,IF(D34="Action Figure",1200,IF(D34="Novel",1000,IF(D34="Sneakers",4000,IF(D34="Smartphone",10000,IF(D34="moisturizer",600,"No Product Found")))))))</f>
        <v>4000</v>
      </c>
      <c r="G34" s="4">
        <f t="shared" ref="G34:G51" si="5">IF(D34="Tent",4000,IF(D34="Blender",2500,IF(D34="Action Figure",800,IF(D34="Novel",700,IF(D34="Sneakers",3000,IF(D34="Smartphone",7000,IF(D34="moisturizer",400,"No Product Found")))))))</f>
        <v>3000</v>
      </c>
      <c r="H34" s="4">
        <f t="shared" ref="H34:H51" si="6">F34*E34</f>
        <v>268000</v>
      </c>
      <c r="I34" s="5">
        <f t="shared" ref="I34:I65" si="7">H34-(G34*E34)</f>
        <v>67000</v>
      </c>
    </row>
    <row r="35" spans="1:9" x14ac:dyDescent="0.3">
      <c r="A35" s="2">
        <v>44536</v>
      </c>
      <c r="B35" t="s">
        <v>11</v>
      </c>
      <c r="C35" t="s">
        <v>12</v>
      </c>
      <c r="D35" t="s">
        <v>16</v>
      </c>
      <c r="E35" s="3">
        <v>67</v>
      </c>
      <c r="F35" s="4">
        <f t="shared" si="4"/>
        <v>1200</v>
      </c>
      <c r="G35" s="4">
        <f t="shared" si="5"/>
        <v>800</v>
      </c>
      <c r="H35" s="4">
        <f t="shared" si="6"/>
        <v>80400</v>
      </c>
      <c r="I35" s="5">
        <f t="shared" si="7"/>
        <v>26800</v>
      </c>
    </row>
    <row r="36" spans="1:9" x14ac:dyDescent="0.3">
      <c r="A36" s="2">
        <v>44069</v>
      </c>
      <c r="B36" t="s">
        <v>27</v>
      </c>
      <c r="C36" t="s">
        <v>15</v>
      </c>
      <c r="D36" t="s">
        <v>19</v>
      </c>
      <c r="E36" s="3">
        <v>149</v>
      </c>
      <c r="F36" s="4">
        <f t="shared" si="4"/>
        <v>1000</v>
      </c>
      <c r="G36" s="4">
        <f t="shared" si="5"/>
        <v>700</v>
      </c>
      <c r="H36" s="4">
        <f t="shared" si="6"/>
        <v>149000</v>
      </c>
      <c r="I36" s="5">
        <f t="shared" si="7"/>
        <v>44700</v>
      </c>
    </row>
    <row r="37" spans="1:9" x14ac:dyDescent="0.3">
      <c r="A37" s="2">
        <v>44378</v>
      </c>
      <c r="B37" t="s">
        <v>20</v>
      </c>
      <c r="C37" t="s">
        <v>18</v>
      </c>
      <c r="D37" t="s">
        <v>26</v>
      </c>
      <c r="E37" s="3">
        <v>104</v>
      </c>
      <c r="F37" s="4">
        <f t="shared" si="4"/>
        <v>600</v>
      </c>
      <c r="G37" s="4">
        <f t="shared" si="5"/>
        <v>400</v>
      </c>
      <c r="H37" s="4">
        <f t="shared" si="6"/>
        <v>62400</v>
      </c>
      <c r="I37" s="5">
        <f t="shared" si="7"/>
        <v>20800</v>
      </c>
    </row>
    <row r="38" spans="1:9" x14ac:dyDescent="0.3">
      <c r="A38" s="2">
        <v>44404</v>
      </c>
      <c r="B38" t="s">
        <v>24</v>
      </c>
      <c r="C38" t="s">
        <v>9</v>
      </c>
      <c r="D38" t="s">
        <v>26</v>
      </c>
      <c r="E38" s="3">
        <v>57</v>
      </c>
      <c r="F38" s="4">
        <f t="shared" si="4"/>
        <v>600</v>
      </c>
      <c r="G38" s="4">
        <f t="shared" si="5"/>
        <v>400</v>
      </c>
      <c r="H38" s="4">
        <f t="shared" si="6"/>
        <v>34200</v>
      </c>
      <c r="I38" s="5">
        <f t="shared" si="7"/>
        <v>11400</v>
      </c>
    </row>
    <row r="39" spans="1:9" x14ac:dyDescent="0.3">
      <c r="A39" s="2">
        <v>44109</v>
      </c>
      <c r="B39" t="s">
        <v>14</v>
      </c>
      <c r="C39" t="s">
        <v>12</v>
      </c>
      <c r="D39" t="s">
        <v>26</v>
      </c>
      <c r="E39" s="3">
        <v>90</v>
      </c>
      <c r="F39" s="4">
        <f t="shared" si="4"/>
        <v>600</v>
      </c>
      <c r="G39" s="4">
        <f t="shared" si="5"/>
        <v>400</v>
      </c>
      <c r="H39" s="4">
        <f t="shared" si="6"/>
        <v>54000</v>
      </c>
      <c r="I39" s="5">
        <f t="shared" si="7"/>
        <v>18000</v>
      </c>
    </row>
    <row r="40" spans="1:9" x14ac:dyDescent="0.3">
      <c r="A40" s="2">
        <v>44076</v>
      </c>
      <c r="B40" t="s">
        <v>22</v>
      </c>
      <c r="C40" t="s">
        <v>15</v>
      </c>
      <c r="D40" t="s">
        <v>26</v>
      </c>
      <c r="E40" s="3">
        <v>67</v>
      </c>
      <c r="F40" s="4">
        <f t="shared" si="4"/>
        <v>600</v>
      </c>
      <c r="G40" s="4">
        <f t="shared" si="5"/>
        <v>400</v>
      </c>
      <c r="H40" s="4">
        <f t="shared" si="6"/>
        <v>40200</v>
      </c>
      <c r="I40" s="5">
        <f t="shared" si="7"/>
        <v>13400</v>
      </c>
    </row>
    <row r="41" spans="1:9" x14ac:dyDescent="0.3">
      <c r="A41" s="2">
        <v>44441</v>
      </c>
      <c r="B41" t="s">
        <v>8</v>
      </c>
      <c r="C41" t="s">
        <v>18</v>
      </c>
      <c r="D41" t="s">
        <v>21</v>
      </c>
      <c r="E41" s="3">
        <v>127</v>
      </c>
      <c r="F41" s="4">
        <f t="shared" si="4"/>
        <v>4000</v>
      </c>
      <c r="G41" s="4">
        <f t="shared" si="5"/>
        <v>3000</v>
      </c>
      <c r="H41" s="4">
        <f t="shared" si="6"/>
        <v>508000</v>
      </c>
      <c r="I41" s="5">
        <f t="shared" si="7"/>
        <v>127000</v>
      </c>
    </row>
    <row r="42" spans="1:9" x14ac:dyDescent="0.3">
      <c r="A42" s="2">
        <v>44299</v>
      </c>
      <c r="B42" t="s">
        <v>22</v>
      </c>
      <c r="C42" t="s">
        <v>9</v>
      </c>
      <c r="D42" t="s">
        <v>19</v>
      </c>
      <c r="E42" s="3">
        <v>108</v>
      </c>
      <c r="F42" s="4">
        <f t="shared" si="4"/>
        <v>1000</v>
      </c>
      <c r="G42" s="4">
        <f t="shared" si="5"/>
        <v>700</v>
      </c>
      <c r="H42" s="4">
        <f t="shared" si="6"/>
        <v>108000</v>
      </c>
      <c r="I42" s="5">
        <f t="shared" si="7"/>
        <v>32400</v>
      </c>
    </row>
    <row r="43" spans="1:9" x14ac:dyDescent="0.3">
      <c r="A43" s="2">
        <v>44322</v>
      </c>
      <c r="B43" t="s">
        <v>14</v>
      </c>
      <c r="C43" t="s">
        <v>12</v>
      </c>
      <c r="D43" t="s">
        <v>13</v>
      </c>
      <c r="E43" s="3">
        <v>66</v>
      </c>
      <c r="F43" s="4">
        <f t="shared" si="4"/>
        <v>3500</v>
      </c>
      <c r="G43" s="4">
        <f t="shared" si="5"/>
        <v>2500</v>
      </c>
      <c r="H43" s="4">
        <f t="shared" si="6"/>
        <v>231000</v>
      </c>
      <c r="I43" s="5">
        <f t="shared" si="7"/>
        <v>66000</v>
      </c>
    </row>
    <row r="44" spans="1:9" x14ac:dyDescent="0.3">
      <c r="A44" s="2">
        <v>44211</v>
      </c>
      <c r="B44" t="s">
        <v>8</v>
      </c>
      <c r="C44" t="s">
        <v>18</v>
      </c>
      <c r="D44" t="s">
        <v>10</v>
      </c>
      <c r="E44" s="3">
        <v>78</v>
      </c>
      <c r="F44" s="4">
        <f t="shared" si="4"/>
        <v>6000</v>
      </c>
      <c r="G44" s="4">
        <f t="shared" si="5"/>
        <v>4000</v>
      </c>
      <c r="H44" s="4">
        <f t="shared" si="6"/>
        <v>468000</v>
      </c>
      <c r="I44" s="5">
        <f t="shared" si="7"/>
        <v>156000</v>
      </c>
    </row>
    <row r="45" spans="1:9" x14ac:dyDescent="0.3">
      <c r="A45" s="2">
        <v>44070</v>
      </c>
      <c r="B45" t="s">
        <v>24</v>
      </c>
      <c r="C45" t="s">
        <v>15</v>
      </c>
      <c r="D45" t="s">
        <v>19</v>
      </c>
      <c r="E45" s="3">
        <v>69</v>
      </c>
      <c r="F45" s="4">
        <f t="shared" si="4"/>
        <v>1000</v>
      </c>
      <c r="G45" s="4">
        <f t="shared" si="5"/>
        <v>700</v>
      </c>
      <c r="H45" s="4">
        <f t="shared" si="6"/>
        <v>69000</v>
      </c>
      <c r="I45" s="5">
        <f t="shared" si="7"/>
        <v>20700</v>
      </c>
    </row>
    <row r="46" spans="1:9" x14ac:dyDescent="0.3">
      <c r="A46" s="2">
        <v>44232</v>
      </c>
      <c r="B46" t="s">
        <v>20</v>
      </c>
      <c r="C46" t="s">
        <v>9</v>
      </c>
      <c r="D46" t="s">
        <v>16</v>
      </c>
      <c r="E46" s="3">
        <v>59</v>
      </c>
      <c r="F46" s="4">
        <f t="shared" si="4"/>
        <v>1200</v>
      </c>
      <c r="G46" s="4">
        <f t="shared" si="5"/>
        <v>800</v>
      </c>
      <c r="H46" s="4">
        <f t="shared" si="6"/>
        <v>70800</v>
      </c>
      <c r="I46" s="5">
        <f t="shared" si="7"/>
        <v>23600</v>
      </c>
    </row>
    <row r="47" spans="1:9" x14ac:dyDescent="0.3">
      <c r="A47" s="2">
        <v>44517</v>
      </c>
      <c r="B47" t="s">
        <v>27</v>
      </c>
      <c r="C47" t="s">
        <v>15</v>
      </c>
      <c r="D47" t="s">
        <v>26</v>
      </c>
      <c r="E47" s="3">
        <v>109</v>
      </c>
      <c r="F47" s="4">
        <f t="shared" si="4"/>
        <v>600</v>
      </c>
      <c r="G47" s="4">
        <f t="shared" si="5"/>
        <v>400</v>
      </c>
      <c r="H47" s="4">
        <f t="shared" si="6"/>
        <v>65400</v>
      </c>
      <c r="I47" s="5">
        <f t="shared" si="7"/>
        <v>21800</v>
      </c>
    </row>
    <row r="48" spans="1:9" x14ac:dyDescent="0.3">
      <c r="A48" s="2">
        <v>44193</v>
      </c>
      <c r="B48" t="s">
        <v>25</v>
      </c>
      <c r="C48" t="s">
        <v>12</v>
      </c>
      <c r="D48" t="s">
        <v>21</v>
      </c>
      <c r="E48" s="3">
        <v>61</v>
      </c>
      <c r="F48" s="4">
        <f t="shared" si="4"/>
        <v>4000</v>
      </c>
      <c r="G48" s="4">
        <f t="shared" si="5"/>
        <v>3000</v>
      </c>
      <c r="H48" s="4">
        <f t="shared" si="6"/>
        <v>244000</v>
      </c>
      <c r="I48" s="5">
        <f t="shared" si="7"/>
        <v>61000</v>
      </c>
    </row>
    <row r="49" spans="1:9" x14ac:dyDescent="0.3">
      <c r="A49" s="2">
        <v>44496</v>
      </c>
      <c r="B49" t="s">
        <v>20</v>
      </c>
      <c r="C49" t="s">
        <v>18</v>
      </c>
      <c r="D49" t="s">
        <v>26</v>
      </c>
      <c r="E49" s="3">
        <v>130</v>
      </c>
      <c r="F49" s="4">
        <f t="shared" si="4"/>
        <v>600</v>
      </c>
      <c r="G49" s="4">
        <f t="shared" si="5"/>
        <v>400</v>
      </c>
      <c r="H49" s="4">
        <f t="shared" si="6"/>
        <v>78000</v>
      </c>
      <c r="I49" s="5">
        <f t="shared" si="7"/>
        <v>26000</v>
      </c>
    </row>
    <row r="50" spans="1:9" x14ac:dyDescent="0.3">
      <c r="A50" s="2">
        <v>44502</v>
      </c>
      <c r="B50" t="s">
        <v>17</v>
      </c>
      <c r="C50" t="s">
        <v>15</v>
      </c>
      <c r="D50" t="s">
        <v>13</v>
      </c>
      <c r="E50" s="3">
        <v>60</v>
      </c>
      <c r="F50" s="4">
        <f t="shared" si="4"/>
        <v>3500</v>
      </c>
      <c r="G50" s="4">
        <f t="shared" si="5"/>
        <v>2500</v>
      </c>
      <c r="H50" s="4">
        <f t="shared" si="6"/>
        <v>210000</v>
      </c>
      <c r="I50" s="5">
        <f t="shared" si="7"/>
        <v>60000</v>
      </c>
    </row>
    <row r="51" spans="1:9" x14ac:dyDescent="0.3">
      <c r="A51" s="2">
        <v>43958</v>
      </c>
      <c r="B51" t="s">
        <v>11</v>
      </c>
      <c r="C51" t="s">
        <v>12</v>
      </c>
      <c r="D51" t="s">
        <v>10</v>
      </c>
      <c r="E51" s="3">
        <v>73</v>
      </c>
      <c r="F51" s="4">
        <f t="shared" si="4"/>
        <v>6000</v>
      </c>
      <c r="G51" s="4">
        <f t="shared" si="5"/>
        <v>4000</v>
      </c>
      <c r="H51" s="4">
        <f t="shared" si="6"/>
        <v>438000</v>
      </c>
      <c r="I51" s="5">
        <f t="shared" si="7"/>
        <v>146000</v>
      </c>
    </row>
    <row r="52" spans="1:9" x14ac:dyDescent="0.3">
      <c r="I52"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project</vt:lpstr>
      <vt:lpstr>pivot table</vt:lpstr>
      <vt:lpstr>SalesData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Williams</dc:creator>
  <cp:lastModifiedBy>saran02052004@outlook.com</cp:lastModifiedBy>
  <dcterms:created xsi:type="dcterms:W3CDTF">2024-05-30T14:35:02Z</dcterms:created>
  <dcterms:modified xsi:type="dcterms:W3CDTF">2026-02-13T05:01:54Z</dcterms:modified>
</cp:coreProperties>
</file>